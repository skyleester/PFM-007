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<sst xmlns="http://schemas.openxmlformats.org/spreadsheetml/2006/main" count="12280" uniqueCount="619">
  <si>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</si>
  <si>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</si>
  <si>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</si>
  <si>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</si>
  <si>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</si>
  <si>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</si>
  <si>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</si>
  <si>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윤지수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</si>
  <si>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</si>
  <si>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</si>
  <si>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</si>
  <si>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</si>
  <si>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</si>
  <si>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</si>
  <si>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</si>
  <si>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</si>
  <si>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</si>
  <si>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</si>
  <si>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</si>
  <si>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</si>
  <si>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</si>
  <si>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</si>
  <si>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</si>
  <si>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</si>
  <si>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</si>
  <si>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</si>
  <si>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</si>
  <si>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</si>
  <si>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급여</t>
  </si>
  <si>
    <t>기타수입</t>
  </si>
  <si>
    <t>용돈</t>
  </si>
  <si>
    <t>월수입 총계</t>
  </si>
  <si>
    <t>경조/선물</t>
  </si>
  <si>
    <t>교육/학습</t>
  </si>
  <si>
    <t>교통</t>
  </si>
  <si>
    <t>금융</t>
  </si>
  <si>
    <t>문화/여가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</si>
  <si>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</si>
  <si>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</si>
  <si>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</si>
  <si>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</si>
  <si>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</si>
  <si>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</si>
  <si>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</si>
  <si>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주거/통신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</si>
  <si>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</si>
  <si>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</si>
  <si>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</si>
  <si>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</si>
  <si>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</si>
  <si>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</si>
  <si>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</si>
  <si>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</si>
  <si>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</si>
  <si>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</si>
  <si>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</si>
  <si>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</si>
  <si>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급여 하나 통장</t>
  </si>
  <si>
    <t>입출금통장</t>
  </si>
  <si>
    <t>자유저축예탁금</t>
  </si>
  <si>
    <t>저금통</t>
  </si>
  <si>
    <t>저축예금</t>
  </si>
  <si>
    <t>신탁 자산</t>
  </si>
  <si>
    <t>현금 자산</t>
  </si>
  <si>
    <t>현금</t>
  </si>
  <si>
    <t>저축성 자산</t>
  </si>
  <si>
    <t>개인형IRP</t>
  </si>
  <si>
    <t>전자금융 자산</t>
  </si>
  <si>
    <t>카카오페이 머니 - 010*****558</t>
  </si>
  <si>
    <t>투자성 자산</t>
  </si>
  <si>
    <t>키움똑똑한4차산업혁명ETF분할매수증권투자신탁[혼합-재간접형] Ce</t>
  </si>
  <si>
    <t>한송네오텍</t>
  </si>
  <si>
    <t>파마리서치</t>
  </si>
  <si>
    <t>삼성전자</t>
  </si>
  <si>
    <t>QV CMA계좌</t>
  </si>
  <si>
    <t>종합계좌</t>
  </si>
  <si>
    <t>종합매매</t>
  </si>
  <si>
    <t>부동산</t>
  </si>
  <si>
    <t>동산</t>
  </si>
  <si>
    <t>기타 실물 자산</t>
  </si>
  <si>
    <t>보험 자산</t>
  </si>
  <si>
    <t>무배당현대해상퍼펙트플러스종합보험(세만기형)(건강고지II)(Hi2502)2종(납입면제형)5.10.10플랜</t>
  </si>
  <si>
    <t>무배당하이라이프퍼펙트스타종합보험(Hi1010)기본플랜</t>
  </si>
  <si>
    <t>연금 자산</t>
  </si>
  <si>
    <t>장기대출</t>
  </si>
  <si>
    <t>하나은행 마이너스 통장</t>
  </si>
  <si>
    <t>무배당하이라이프퍼펙트스타종합보험(Hi1010)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</si>
  <si>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</si>
  <si>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</si>
  <si>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</si>
  <si>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</si>
  <si>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</si>
  <si>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</si>
  <si>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</si>
  <si>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</si>
  <si>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</si>
  <si>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</si>
  <si>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</si>
  <si>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현대해상</t>
  </si>
  <si>
    <t>정상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</si>
  <si>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</si>
  <si>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</si>
  <si>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</si>
  <si>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</si>
  <si>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</si>
  <si>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</si>
  <si>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</si>
  <si>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</si>
  <si>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</si>
  <si>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</si>
  <si>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</si>
  <si>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</si>
  <si>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펀드</t>
  </si>
  <si>
    <t>카카오페이 증권</t>
  </si>
  <si>
    <t>주식</t>
  </si>
  <si>
    <t>신한투자증권</t>
  </si>
  <si>
    <t>NH투자증권</t>
  </si>
  <si>
    <t>보유상품개수</t>
  </si>
  <si>
    <t>총 투자 원금</t>
  </si>
  <si>
    <t>총 평가 금액</t>
  </si>
  <si>
    <t>총 수익률</t>
  </si>
  <si>
    <t>총 4개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</si>
  <si>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</si>
  <si>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</si>
  <si>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</si>
  <si>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</si>
  <si>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</si>
  <si>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</si>
  <si>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</si>
  <si>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</si>
  <si>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</si>
  <si>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하나은행</t>
  </si>
  <si>
    <t>보험사 대출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</si>
  <si>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</si>
  <si>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</si>
  <si>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</si>
  <si>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</si>
  <si>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</si>
  <si>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</si>
  <si>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</si>
  <si>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</si>
  <si>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</si>
  <si>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</si>
  <si>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</si>
  <si>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</si>
  <si>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</si>
  <si>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티머니 지하철</t>
  </si>
  <si>
    <t>KRW</t>
  </si>
  <si>
    <t>Young Hana 체크카드_OK캐쉬백(GREEN, 후불교통)</t>
  </si>
  <si>
    <t>수입</t>
  </si>
  <si>
    <t>발급수수료캐쉬</t>
  </si>
  <si>
    <t>이체</t>
  </si>
  <si>
    <t>전혜리</t>
  </si>
  <si>
    <t>주식회사 카카오</t>
  </si>
  <si>
    <t>카카오페이 간편결제</t>
  </si>
  <si>
    <t>지에스더프레시 송파시그니처점</t>
  </si>
  <si>
    <t>중앙프라자약국</t>
  </si>
  <si>
    <t>하나카드_체크</t>
  </si>
  <si>
    <t>네이버페이충전</t>
  </si>
  <si>
    <t>쿠팡(쿠페이)_나이스</t>
  </si>
  <si>
    <t>내계좌이체</t>
  </si>
  <si>
    <t>윤*수</t>
  </si>
  <si>
    <t>카카오페이 머니</t>
  </si>
  <si>
    <t>카카오페이</t>
  </si>
  <si>
    <t>08 월 버스 1건</t>
  </si>
  <si>
    <t>프렌즈 체크카드</t>
  </si>
  <si>
    <t>08 월 터널/도로 6건</t>
  </si>
  <si>
    <t>08 월 지하철 2건</t>
  </si>
  <si>
    <t>08 월 지하철 1건</t>
  </si>
  <si>
    <t>08 월 버스 4건</t>
  </si>
  <si>
    <t>쿠팡(쿠페이)_KCP</t>
  </si>
  <si>
    <t>윤형득</t>
  </si>
  <si>
    <t>이리옴프라자 입주자</t>
  </si>
  <si>
    <t>런던베이글뮤지엄 인천</t>
  </si>
  <si>
    <t>아마노코리아 (주)</t>
  </si>
  <si>
    <t>(주)파리크라상파리</t>
  </si>
  <si>
    <t>띠아모제주공항점</t>
  </si>
  <si>
    <t>공항특산품점</t>
  </si>
  <si>
    <t>풀입채진고복식당제</t>
  </si>
  <si>
    <t>사계카페1</t>
  </si>
  <si>
    <t>제주정낭집</t>
  </si>
  <si>
    <t>빌레못</t>
  </si>
  <si>
    <t>지에스25 제주동문점</t>
  </si>
  <si>
    <t>동문시장 과일모찌</t>
  </si>
  <si>
    <t>(주)제라헌</t>
  </si>
  <si>
    <t>릿(REET)</t>
  </si>
  <si>
    <t>파인더</t>
  </si>
  <si>
    <t>숙성도제주본점</t>
  </si>
  <si>
    <t>(주)한림공원</t>
  </si>
  <si>
    <t>명랑스낵</t>
  </si>
  <si>
    <t>무무(mumu)</t>
  </si>
  <si>
    <t>세븐일레븐 제주라마</t>
  </si>
  <si>
    <t>영미</t>
  </si>
  <si>
    <t>야시장이동식판매대28</t>
  </si>
  <si>
    <t>제주삼춘네동문지점</t>
  </si>
  <si>
    <t>할리스커피 김포공항점</t>
  </si>
  <si>
    <t>(주)롯데리아김포공항국내점</t>
  </si>
  <si>
    <t>송금 내역</t>
  </si>
  <si>
    <t>저축</t>
  </si>
  <si>
    <t>생축~ 엄빠의선물</t>
  </si>
  <si>
    <t>아이스크림 살래 거여센트럴점</t>
  </si>
  <si>
    <t>씨유(CU) 송파시그니처점</t>
  </si>
  <si>
    <t>천사무료급식봉사</t>
  </si>
  <si>
    <t>지에스더프레시 송파</t>
  </si>
  <si>
    <t>보험</t>
  </si>
  <si>
    <t>현대해상08-007</t>
  </si>
  <si>
    <t>현대해상08-178</t>
  </si>
  <si>
    <t>이자/대출</t>
  </si>
  <si>
    <t>현대약대이자</t>
  </si>
  <si>
    <t>지에스(GS)25 성동샤</t>
  </si>
  <si>
    <t>한우드림</t>
  </si>
  <si>
    <t>청약</t>
  </si>
  <si>
    <t>유니세프 C08</t>
  </si>
  <si>
    <t>고려대학교의료원</t>
  </si>
  <si>
    <t>적금</t>
  </si>
  <si>
    <t>호텔롯데롯데월드</t>
  </si>
  <si>
    <t>쿠팡이츠_KCP</t>
  </si>
  <si>
    <t>더커피빈</t>
  </si>
  <si>
    <t>(주)라임마트</t>
  </si>
  <si>
    <t>쿠팡(쿠페이)_KICC</t>
  </si>
  <si>
    <t>휴대폰</t>
  </si>
  <si>
    <t>01038777558SKT</t>
  </si>
  <si>
    <t>춘향미엔</t>
  </si>
  <si>
    <t>쿠팡(와우멤버십)_KCP</t>
  </si>
  <si>
    <t>주식회사 미리디</t>
  </si>
  <si>
    <t>ALIPAY CONNECT PTE. LTD</t>
  </si>
  <si>
    <t>삼성화08003</t>
  </si>
  <si>
    <t>33떡볶이&amp;꼬마김밥(거여마천점)</t>
  </si>
  <si>
    <t>쿠팡이츠_KICC</t>
  </si>
  <si>
    <t>호호</t>
  </si>
  <si>
    <t>유엔난민기구</t>
  </si>
  <si>
    <t>미래약국</t>
  </si>
  <si>
    <t>고려대학교안암</t>
  </si>
  <si>
    <t>57691028573107</t>
  </si>
  <si>
    <t>대출결산이자</t>
  </si>
  <si>
    <t>세븐일레븐마천중앙점</t>
  </si>
  <si>
    <t>카드대금</t>
  </si>
  <si>
    <t>하나카드</t>
  </si>
  <si>
    <t>07 월 지하철 3건</t>
  </si>
  <si>
    <t>07 월 터널/도로 10건</t>
  </si>
  <si>
    <t>07 월 버스 1건</t>
  </si>
  <si>
    <t>씨유(CU) 송파드림점</t>
  </si>
  <si>
    <t>결제_KCP</t>
  </si>
  <si>
    <t>천호365약국</t>
  </si>
  <si>
    <t>티머니 버스</t>
  </si>
  <si>
    <t>채움의미학</t>
  </si>
  <si>
    <t>현대해상07-006</t>
  </si>
  <si>
    <t>현대해상07-177</t>
  </si>
  <si>
    <t>유니세프 C07</t>
  </si>
  <si>
    <t>박주희</t>
  </si>
  <si>
    <t>트레이더스 위례점</t>
  </si>
  <si>
    <t>이마트 가든5점</t>
  </si>
  <si>
    <t>권*진</t>
  </si>
  <si>
    <t>쿠팡이츠_나이스</t>
  </si>
  <si>
    <t>삼성화07002</t>
  </si>
  <si>
    <t>한국도로공사</t>
  </si>
  <si>
    <t>마천푸른솔약국</t>
  </si>
  <si>
    <t>성심당</t>
  </si>
  <si>
    <t>씨유(CU) 대전은행점</t>
  </si>
  <si>
    <t>롯데물산주식회사</t>
  </si>
  <si>
    <t>롯데물산(주)롯데월드몰점</t>
  </si>
  <si>
    <t>롯데물산주식회사롯</t>
  </si>
  <si>
    <t>(주)파이브식스</t>
  </si>
  <si>
    <t>임*혁</t>
  </si>
  <si>
    <t>김*현</t>
  </si>
  <si>
    <t>청화물류주식회사</t>
  </si>
  <si>
    <t>매운향솥</t>
  </si>
  <si>
    <t>방탈출카페 넥스트에디션 건대2호</t>
  </si>
  <si>
    <t>지에스25 S6안암역점</t>
  </si>
  <si>
    <t>고대안암병원</t>
  </si>
  <si>
    <t>통신판매(ARS)_나이스</t>
  </si>
  <si>
    <t>마천스타약국</t>
  </si>
  <si>
    <t>06 월 버스 1건</t>
  </si>
  <si>
    <t>06 월 터널/도로 5건</t>
  </si>
  <si>
    <t>06 월 지하철 14건</t>
  </si>
  <si>
    <t>이천일아울렛 천호점(외식)</t>
  </si>
  <si>
    <t>아이스크림 살래 거</t>
  </si>
  <si>
    <t>두끼대학로점</t>
  </si>
  <si>
    <t>세븐일레븐 성북구청</t>
  </si>
  <si>
    <t>성북구도시관리공단</t>
  </si>
  <si>
    <t>메가엠지씨커피 성신</t>
  </si>
  <si>
    <t>마녀주방성신여대점</t>
  </si>
  <si>
    <t>씨유(CU) 송파시그니</t>
  </si>
  <si>
    <t>SKT464</t>
  </si>
  <si>
    <t>SKT456</t>
  </si>
  <si>
    <t>(주)아펜즈</t>
  </si>
  <si>
    <t>꽃뜰에</t>
  </si>
  <si>
    <t>현대해상06-176</t>
  </si>
  <si>
    <t>유니세프 C06</t>
  </si>
  <si>
    <t>삼성전자판매(주)토</t>
  </si>
  <si>
    <t>경기마을버스_이동의즐거움</t>
  </si>
  <si>
    <t>(주)씨엔에스자산관</t>
  </si>
  <si>
    <t>(주)설빙건대지점</t>
  </si>
  <si>
    <t>마마향양갈비</t>
  </si>
  <si>
    <t>현대해상06-005</t>
  </si>
  <si>
    <t>GS25광진아차산역점</t>
  </si>
  <si>
    <t>(주)함경도찹쌀순대</t>
  </si>
  <si>
    <t>설빙 가락시장역점</t>
  </si>
  <si>
    <t>진성곱창</t>
  </si>
  <si>
    <t>연두상추_인증용</t>
  </si>
  <si>
    <t>쿠팡(와우멤버십)_KICC</t>
  </si>
  <si>
    <t>템보(TEMBO)</t>
  </si>
  <si>
    <t>제이영동광주(상)휴</t>
  </si>
  <si>
    <t>덕산가든</t>
  </si>
  <si>
    <t>부경에스이에스(주)</t>
  </si>
  <si>
    <t>(주)멕시칼리</t>
  </si>
  <si>
    <t>새수정온누리약국</t>
  </si>
  <si>
    <t>퀴즈노스 고대안암병원점</t>
  </si>
  <si>
    <t>씨유(CU) 시그니처다</t>
  </si>
  <si>
    <t>의무부총장</t>
  </si>
  <si>
    <t>삼성화재입금</t>
  </si>
  <si>
    <t>씨유(CU) 시그니처다미점</t>
  </si>
  <si>
    <t>05 월 터널/도로 5건</t>
  </si>
  <si>
    <t>05 월 지하철 2건</t>
  </si>
  <si>
    <t>05 월 지하철 1건</t>
  </si>
  <si>
    <t>05 월 버스 1건</t>
  </si>
  <si>
    <t>메가엠지씨커피  송</t>
  </si>
  <si>
    <t>포짜오</t>
  </si>
  <si>
    <t>대표일반_KCP</t>
  </si>
  <si>
    <t>극장생선</t>
  </si>
  <si>
    <t>이스트포레주식회사</t>
  </si>
  <si>
    <t>산타약국</t>
  </si>
  <si>
    <t>주식회사 킥더허들</t>
  </si>
  <si>
    <t>회비(4)_KSNET</t>
  </si>
  <si>
    <t>다이소 거여점</t>
  </si>
  <si>
    <t>주식회사 버킷플레이스</t>
  </si>
  <si>
    <t>윤윤지</t>
  </si>
  <si>
    <t>현대해상05-175</t>
  </si>
  <si>
    <t>유니세프 C05</t>
  </si>
  <si>
    <t>(주)씨앤에스자산관</t>
  </si>
  <si>
    <t>(주)에이텍티앤_현장발권</t>
  </si>
  <si>
    <t>하나 트래블로그 체크카드</t>
  </si>
  <si>
    <t>DONUT KING             BADUNG        IDN</t>
  </si>
  <si>
    <t>하나머니충전</t>
  </si>
  <si>
    <t>PT DUFRINDO MBL        BADUNG - BALI IDN</t>
  </si>
  <si>
    <t>BVILLA HO              BADUNG        IDN</t>
  </si>
  <si>
    <t>WARUNG NIA SEMINYAK BA Badung (Kab)  IDN</t>
  </si>
  <si>
    <t>Grab* A-7TLJB6BWW5KHAV JAKARTA PUSAT IDN</t>
  </si>
  <si>
    <t>BINTANG SEMINYAK MBL   BADUNG - BALI IDN</t>
  </si>
  <si>
    <t>CHEW HO                BADUNG        IDN</t>
  </si>
  <si>
    <t>BINTANG PUSAT BELANJA  Badung        IDN</t>
  </si>
  <si>
    <t>MADE`S WARUNG-HO       DENPASAR      IDN</t>
  </si>
  <si>
    <t>ONE ELEVEN HO          BADUNG        IDN</t>
  </si>
  <si>
    <t>COCO EXPRESS PANGKUNG  Badung (Kab)  IDN</t>
  </si>
  <si>
    <t>COCO SUPERMARKET SEMIN Badung (Kab)  IDN</t>
  </si>
  <si>
    <t>BOY AND COW HO         BADUNG        IDN</t>
  </si>
  <si>
    <t>Grab* A-7THE4C5WWCIAAV JAKARTA PUSAT IDN</t>
  </si>
  <si>
    <t>남*우</t>
  </si>
  <si>
    <t>강*원</t>
  </si>
  <si>
    <t>이*남</t>
  </si>
  <si>
    <t>GELATO REPUBLIC SEMINY Badung (Kab)  IDN</t>
  </si>
  <si>
    <t>BINTANG SUPERMARKET SE BADUNG KAB.   IDN</t>
  </si>
  <si>
    <t>STARBUCKS DEWATA BALI  BADUNG        IDN</t>
  </si>
  <si>
    <t>DOKU*CHOPE SHOPIFY BAL JAKARTA PUSAT IDN</t>
  </si>
  <si>
    <t>Grab* A-7TEDDD2WXXFAAV JAKARTA PUSAT IDN</t>
  </si>
  <si>
    <t>Grab* A-7TECI7BWWXKVAV JAKARTA PUSAT IDN</t>
  </si>
  <si>
    <t>WARUNG BEJANA HO       BADUNG        IDN</t>
  </si>
  <si>
    <t>BENOA TIRTA HARUM DIVE BADUNG KAB.   IDN</t>
  </si>
  <si>
    <t>IDM TOCE-BRABAN BDG    BADUNG        IDN</t>
  </si>
  <si>
    <t>POTATO HEAD MBL        BADUNG - BALI IDN</t>
  </si>
  <si>
    <t>POTATO HEAD RESTAURANT BADUNG        IDN</t>
  </si>
  <si>
    <t>SAMBAL SHRIMP          Badung (Kab)  IDN</t>
  </si>
  <si>
    <t>ASHITABA               BADUNG        IDN</t>
  </si>
  <si>
    <t>IDM TOCEBRABAN BDG     BADUNG KAB.   IDN</t>
  </si>
  <si>
    <t>현대해상05-004</t>
  </si>
  <si>
    <t>AGUNG SHOP             BADUNG        IDN</t>
  </si>
  <si>
    <t>DOUDOU BALI SEMINYAK H BADUNG        IDN</t>
  </si>
  <si>
    <t>0518_CIRCLE K,</t>
  </si>
  <si>
    <t>UMA CEKING             Gianyar (Kab) IDN</t>
  </si>
  <si>
    <t>SANTI KOPI             GIANYAR KAB.  IDN</t>
  </si>
  <si>
    <t>BATUBARA WOOD FIRE HO  GIANYAR       IDN</t>
  </si>
  <si>
    <t>COCO SUPERMARKET UBUD  GIANYAR KAB.  IDN</t>
  </si>
  <si>
    <t>MANDALA SUCI WENARA WA GIANYAR KAB.  IDN</t>
  </si>
  <si>
    <t>TUKIES THE COCONUT SHO GIANYAR       IDN</t>
  </si>
  <si>
    <t>FROZEN YOGI HO         GIANYAR       IDN</t>
  </si>
  <si>
    <t>JASMIN SHOP UBUD       GIANYAR KAB.  IDN</t>
  </si>
  <si>
    <t>SUMAWI SHOP 2          GIANYAR KAB.  IDN</t>
  </si>
  <si>
    <t>CINTA GRILL &amp; INN MBL  BALI - GIANYA IDN</t>
  </si>
  <si>
    <t>강옥빈</t>
  </si>
  <si>
    <t>KLOOK(클룩)_KCP</t>
  </si>
  <si>
    <t>ACAI QUEEN             GIANYAR KAB.  IDN</t>
  </si>
  <si>
    <t>CIRCLE K,BAL-0309      DENPASAR      IDN</t>
  </si>
  <si>
    <t>TANDOOR INDIAN RESTAUR GIANYAR KAB.  IDN</t>
  </si>
  <si>
    <t>Grab* A-7STBKIDGW8WPAV JAKARTA PUSAT IDN</t>
  </si>
  <si>
    <t>Grab* A-7STBKIDGW8WPAV South Jakarta IDN</t>
  </si>
  <si>
    <t>Prismalink*IND VISAARR JAKARTA PUSAT IDN</t>
  </si>
  <si>
    <t>비알코리아(주)던킨도너츠T2인천공</t>
  </si>
  <si>
    <t>스카이팜약국</t>
  </si>
  <si>
    <t>롯데리아 인천공항T2 L/S 3층점</t>
  </si>
  <si>
    <t>아이스크림살래 롯데</t>
  </si>
  <si>
    <t>미나리산장(거여점)</t>
  </si>
  <si>
    <t>김*지</t>
  </si>
  <si>
    <t>이호천</t>
  </si>
  <si>
    <t>경조사</t>
  </si>
  <si>
    <t>입금 내역</t>
  </si>
  <si>
    <t>이*디</t>
  </si>
  <si>
    <t>이*인</t>
  </si>
  <si>
    <t>신*우</t>
  </si>
  <si>
    <t>김*진</t>
  </si>
  <si>
    <t>심*정</t>
  </si>
  <si>
    <t>신현철</t>
  </si>
  <si>
    <t>봉은솔</t>
  </si>
  <si>
    <t>최수현</t>
  </si>
  <si>
    <t>김*연</t>
  </si>
  <si>
    <t>이*성</t>
  </si>
  <si>
    <t>최*화</t>
  </si>
  <si>
    <t>치즈를 사랑한 찜닭</t>
  </si>
  <si>
    <t>이*원</t>
  </si>
  <si>
    <t>(주)케이지이니시스</t>
  </si>
  <si>
    <t>김*기</t>
  </si>
  <si>
    <t>김영훈</t>
  </si>
  <si>
    <t>신세진</t>
  </si>
  <si>
    <t>다이소</t>
  </si>
  <si>
    <t>현금IC결제캐쉬백</t>
  </si>
  <si>
    <t>약손명가에스테틱(청량리점)</t>
  </si>
  <si>
    <t>박*혁</t>
  </si>
  <si>
    <t>정기상여</t>
  </si>
  <si>
    <t>씨제이올리브영 주식회사</t>
  </si>
  <si>
    <t>김기예</t>
  </si>
  <si>
    <t>김수진</t>
  </si>
  <si>
    <t>Starfield CITY WIRYE</t>
  </si>
  <si>
    <t>시나본샵여의나루펍</t>
  </si>
  <si>
    <t>04 월 지하철 2건</t>
  </si>
  <si>
    <t>04 월 지하철 9건</t>
  </si>
  <si>
    <t>04 월 버스 10건</t>
  </si>
  <si>
    <t>04 월 버스 2건</t>
  </si>
  <si>
    <t>04 월 터널/도로 8건</t>
  </si>
  <si>
    <t>엔에이치엔케이씨피 주식회사</t>
  </si>
  <si>
    <t>홈플러스익스프레스안양석수점</t>
  </si>
  <si>
    <t>엔제리너스 롯데백평촌점</t>
  </si>
  <si>
    <t>롯데쇼핑(주)평촌점</t>
  </si>
  <si>
    <t>논현바른약국</t>
  </si>
  <si>
    <t>지에스25 S9신논현역점</t>
  </si>
  <si>
    <t>청량리 뷰티크의원</t>
  </si>
  <si>
    <t>(주)카카오모빌리티</t>
  </si>
  <si>
    <t>커피빈 코엑스웨스턴</t>
  </si>
  <si>
    <t>(주)서북</t>
  </si>
  <si>
    <t>펀시티</t>
  </si>
  <si>
    <t>현대해상04-003</t>
  </si>
  <si>
    <t>커피빈 고대안암병원신관점</t>
  </si>
  <si>
    <t>돼봉삼겹살 신논현점</t>
  </si>
  <si>
    <t>아리계곡</t>
  </si>
  <si>
    <t>더달달</t>
  </si>
  <si>
    <t>현대해상04-174</t>
  </si>
  <si>
    <t>유니세프 C04</t>
  </si>
  <si>
    <t>노랑통닭 고대점</t>
  </si>
  <si>
    <t>아이스크림살래 롯데시그니처점</t>
  </si>
  <si>
    <t>도산족발 칼국수</t>
  </si>
  <si>
    <t>하나머니환급</t>
  </si>
  <si>
    <t>스타벅스_이니시스</t>
  </si>
  <si>
    <t>영미오리탕</t>
  </si>
  <si>
    <t>커피볶는정</t>
  </si>
  <si>
    <t>파리바게뜨대화</t>
  </si>
  <si>
    <t>힘찬마트</t>
  </si>
  <si>
    <t>글래드호텔앤리조트(주) 글래드호</t>
  </si>
  <si>
    <t>갓포아키여의도점</t>
  </si>
  <si>
    <t>(주) 감개무량</t>
  </si>
  <si>
    <t>카카오T일반택시(법인)_4</t>
  </si>
  <si>
    <t>카카오T택시_가승인</t>
  </si>
  <si>
    <t>투다리 개롱역점</t>
  </si>
  <si>
    <t>씨유(CU) 송파개롱역점</t>
  </si>
  <si>
    <t>와빈</t>
  </si>
  <si>
    <t>(주)엔터식스패션쇼핑몰강남점</t>
  </si>
  <si>
    <t>(주)이춘복참치 센트럴시티점</t>
  </si>
  <si>
    <t>예사랑한복</t>
  </si>
  <si>
    <t>왕십리 누룽지통닭구이</t>
  </si>
  <si>
    <t>보승회관</t>
  </si>
  <si>
    <t>주신당 강남점</t>
  </si>
  <si>
    <t>라*천</t>
  </si>
  <si>
    <t>운치</t>
  </si>
  <si>
    <t>하이오커피 송파시그니처점</t>
  </si>
  <si>
    <t>양흥모(대남주단)</t>
  </si>
  <si>
    <t>투썸플레이스종로5가</t>
  </si>
  <si>
    <t>명동닭한마리지경자</t>
  </si>
  <si>
    <t>03 월 지하철 3건</t>
  </si>
  <si>
    <t>03 월 터널/도로 4건</t>
  </si>
  <si>
    <t>최*희</t>
  </si>
  <si>
    <t>서*영</t>
  </si>
  <si>
    <t>적립 내역</t>
  </si>
  <si>
    <t>428 레스토랑</t>
  </si>
  <si>
    <t>박찬익(운선제한복)</t>
  </si>
  <si>
    <t>VOLAREby장미의숲</t>
  </si>
  <si>
    <t>더필름(용리단길점)</t>
  </si>
  <si>
    <t>쿠촐로 서울</t>
  </si>
  <si>
    <t>카카오T(간편결제)_나이스</t>
  </si>
  <si>
    <t>현대해상03-173</t>
  </si>
  <si>
    <t>유니세프 C03</t>
  </si>
  <si>
    <t>민자도로후불교통카드</t>
  </si>
  <si>
    <t>서부_교통카드</t>
  </si>
  <si>
    <t>이마트24 고려대안암병원신관점</t>
  </si>
  <si>
    <t>석탑스튜디오</t>
  </si>
  <si>
    <t>현대해상03-002</t>
  </si>
  <si>
    <t>카페스쿱(SCOOP)</t>
  </si>
  <si>
    <t>놉스 삼성점</t>
  </si>
  <si>
    <t>최진원</t>
  </si>
  <si>
    <t>하나체크환급</t>
  </si>
  <si>
    <t>(주)호텔롯데롯데월드</t>
  </si>
  <si>
    <t>02 월 지하철 1건</t>
  </si>
  <si>
    <t>02 월 터널/도로 4건</t>
  </si>
  <si>
    <t>세계로약국</t>
  </si>
  <si>
    <t>한승수</t>
  </si>
  <si>
    <t>신한 975</t>
  </si>
  <si>
    <t>이하늘(약손명가에스</t>
  </si>
  <si>
    <t>현대해상02-172</t>
  </si>
  <si>
    <t>유니세프 C02</t>
  </si>
  <si>
    <t>도용호</t>
  </si>
  <si>
    <t>이윤지</t>
  </si>
  <si>
    <t>(주)무신사_헥토</t>
  </si>
  <si>
    <t>현대해상윤지수</t>
  </si>
  <si>
    <t>네이버7903</t>
  </si>
  <si>
    <t>씨유(CU)고대안암점</t>
  </si>
  <si>
    <t>메리츠001건</t>
  </si>
  <si>
    <t>쿠팡(와우멤버십)_나이스</t>
  </si>
  <si>
    <t>출금 내역</t>
  </si>
  <si>
    <t>윤*원</t>
  </si>
  <si>
    <t>메리츠화재</t>
  </si>
  <si>
    <t>비버웍스(SMS)_헥토</t>
  </si>
  <si>
    <t>메리츠01-072</t>
  </si>
  <si>
    <t>메리츠화재해상</t>
  </si>
  <si>
    <t>현대해상01-171</t>
  </si>
  <si>
    <t>(주)이삼오구</t>
  </si>
  <si>
    <t>사랑해</t>
  </si>
  <si>
    <t>한정우</t>
  </si>
  <si>
    <t>서울특별시동대문구</t>
  </si>
  <si>
    <t>메리츠01-073</t>
  </si>
  <si>
    <t>01 월 버스 2건</t>
  </si>
  <si>
    <t>01 월 버스 1건</t>
  </si>
  <si>
    <t>01 월 지하철 4건</t>
  </si>
  <si>
    <t>주식회사 무신사페이먼츠</t>
  </si>
  <si>
    <t>롯데프리미엄아울렛 광명점</t>
  </si>
  <si>
    <t>강*이</t>
  </si>
  <si>
    <t>정세섭</t>
  </si>
  <si>
    <t>유니세프 C01</t>
  </si>
  <si>
    <t>조*름</t>
  </si>
  <si>
    <t>우부르(uburr)</t>
  </si>
  <si>
    <t>주식회사 우아한형제들</t>
  </si>
  <si>
    <t>오*영</t>
  </si>
  <si>
    <t>박*영</t>
  </si>
  <si>
    <t>김*영</t>
  </si>
  <si>
    <t>보드게임카페홈</t>
  </si>
  <si>
    <t>라시에스타</t>
  </si>
  <si>
    <t>VAN출금</t>
  </si>
  <si>
    <t>(주)백년에프엔비</t>
  </si>
  <si>
    <t>순환기내과</t>
  </si>
  <si>
    <t>GS25고개개운점</t>
  </si>
  <si>
    <t>이*규</t>
  </si>
  <si>
    <t>12 월 터널/도로 3건</t>
  </si>
  <si>
    <t>12 월 지하철 2건</t>
  </si>
  <si>
    <t>폴라스튜디오사</t>
  </si>
  <si>
    <t>모조(MOZO)</t>
  </si>
  <si>
    <t>주식회사 아성다이소</t>
  </si>
  <si>
    <t>초와밥</t>
  </si>
  <si>
    <t>01038777558S</t>
  </si>
  <si>
    <t>메리츠12-071</t>
  </si>
  <si>
    <t>메리츠12-072</t>
  </si>
  <si>
    <t>이하준</t>
  </si>
  <si>
    <t>오늘 또 뽑기 사가정역점</t>
  </si>
  <si>
    <t>현대해상12-170</t>
  </si>
  <si>
    <t>유니세프 C12</t>
  </si>
  <si>
    <t>3POP PC방</t>
  </si>
  <si>
    <t>송수정</t>
  </si>
  <si>
    <t>다올약국</t>
  </si>
  <si>
    <t>이수진</t>
  </si>
  <si>
    <t>CJ올리브영 돈암중앙점</t>
  </si>
  <si>
    <t>NHN KCP</t>
  </si>
  <si>
    <t>KNA에듀센터</t>
  </si>
  <si>
    <t>계림식당</t>
  </si>
  <si>
    <t>서예빈</t>
  </si>
  <si>
    <t>고주영</t>
  </si>
  <si>
    <t>11 월 터널/도로 2건</t>
  </si>
  <si>
    <t>11 월 지하철 1건</t>
  </si>
  <si>
    <t>애슐리퀸즈뉴코아평촌점</t>
  </si>
  <si>
    <t>최*영</t>
  </si>
  <si>
    <t>(주)보나비</t>
  </si>
  <si>
    <t>(주)해담채여의도</t>
  </si>
  <si>
    <t>현대해상11-169</t>
  </si>
  <si>
    <t>유니세프 C11</t>
  </si>
  <si>
    <t>메리츠002건</t>
  </si>
  <si>
    <t>최*용</t>
  </si>
  <si>
    <t>코레일유통주식회사</t>
  </si>
  <si>
    <t>철도승차권  발매</t>
  </si>
  <si>
    <t>문정희</t>
  </si>
  <si>
    <t>생크림와플과뻥아이스</t>
  </si>
  <si>
    <t>후원금구(1)_나이스</t>
  </si>
  <si>
    <t>조병진</t>
  </si>
  <si>
    <t>대학약국</t>
  </si>
  <si>
    <t>주식회사 티머니</t>
  </si>
  <si>
    <t>텐퍼센트 마천역점</t>
  </si>
  <si>
    <t>(주)에스알</t>
  </si>
  <si>
    <t>고*숙</t>
  </si>
  <si>
    <t>카페 비엔베니도</t>
  </si>
  <si>
    <t>스타벅스(사이렌오더)_이니시스</t>
  </si>
  <si>
    <t>롤링핀</t>
  </si>
  <si>
    <t>현대해상10-168</t>
  </si>
  <si>
    <t>유니세프 C10</t>
  </si>
  <si>
    <t>본우리반상고대</t>
  </si>
  <si>
    <t>공차 고대안암병원점</t>
  </si>
  <si>
    <t>박영미(옥두헌손**</t>
  </si>
  <si>
    <t>이마트24 R고려대안암병원점</t>
  </si>
  <si>
    <t>주식회사 백패커</t>
  </si>
  <si>
    <t>박*수</t>
  </si>
  <si>
    <t>김*선</t>
  </si>
  <si>
    <t>멜론티켓(문화비)_이니시스</t>
  </si>
  <si>
    <t>결제 내역</t>
  </si>
  <si>
    <t>최*인</t>
  </si>
  <si>
    <t>(주)넥슨코리아</t>
  </si>
  <si>
    <t>09 월 터널/도로 10건</t>
  </si>
  <si>
    <t>현공업사(뭉티기)</t>
  </si>
  <si>
    <t>주식회사 인터파크트리플</t>
  </si>
  <si>
    <t>현대해상09-167</t>
  </si>
  <si>
    <t>메리츠003건</t>
  </si>
  <si>
    <t>유니세프 C09</t>
  </si>
  <si>
    <t>TW264</t>
  </si>
  <si>
    <t>인터넷상거래_TOSS</t>
  </si>
  <si>
    <t>010가상**</t>
  </si>
  <si>
    <t>Grab* A-6SUEMT9WWHNF   HA NOI        VNM</t>
  </si>
  <si>
    <t>0909_GRAB* A-6</t>
  </si>
  <si>
    <t>0908_GRAB* A-6</t>
  </si>
  <si>
    <t>Grab* A-6SHTSIRGWHFX   HA NOI        VNM</t>
  </si>
</sst>
</file>

<file path=xl/styles.xml><?xml version="1.0" encoding="utf-8"?>
<styleSheet xmlns="http://schemas.openxmlformats.org/spreadsheetml/2006/main">
  <numFmts count="5"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5" formatCode="yyyy-mm-dd"/>
    <numFmt numFmtId="164" formatCode="#,##0"/>
    <numFmt numFmtId="164" formatCode="#,##0"/>
    <numFmt numFmtId="166" formatCode="#,##0.00"/>
    <numFmt numFmtId="164" formatCode="#,##0"/>
    <numFmt numFmtId="167" formatCode="#,##0.00 &quot;%&quot; "/>
    <numFmt numFmtId="165" formatCode="yyyy-mm-dd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93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30</v>
      </c>
      <c r="E6" s="5">
        <v>784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0</v>
      </c>
      <c r="F12" s="10">
        <v>0</v>
      </c>
      <c r="G12" s="10">
        <v>1893930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1893930</v>
      </c>
      <c r="N12" s="10">
        <v>0</v>
      </c>
      <c r="O12" s="10">
        <v>62000</v>
      </c>
      <c r="P12" s="10">
        <v>0</v>
      </c>
      <c r="Q12" s="10">
        <v>2000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0</v>
      </c>
      <c r="F13" s="10">
        <v>26700</v>
      </c>
      <c r="G13" s="10">
        <v>0</v>
      </c>
      <c r="H13" s="10">
        <v>5000</v>
      </c>
      <c r="I13" s="10">
        <v>4</v>
      </c>
      <c r="J13" s="10">
        <v>1</v>
      </c>
      <c r="K13" s="10">
        <v>27000</v>
      </c>
      <c r="L13" s="10">
        <v>14950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0</v>
      </c>
      <c r="G14" s="10">
        <v>51700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</row>
    <row r="15" spans="2:17">
      <c r="B15" s="11" t="s">
        <v>31</v>
      </c>
      <c r="C15" s="12">
        <f>SUM(E15:Q15)</f>
        <v>0</v>
      </c>
      <c r="D15" s="12">
        <f>C15/13</f>
        <v>0</v>
      </c>
      <c r="E15" s="12">
        <f>SUM(E12:E14)</f>
        <v>0</v>
      </c>
      <c r="F15" s="12">
        <f>SUM(F12:F14)</f>
        <v>0</v>
      </c>
      <c r="G15" s="12">
        <f>SUM(G12:G14)</f>
        <v>0</v>
      </c>
      <c r="H15" s="12">
        <f>SUM(H12:H14)</f>
        <v>0</v>
      </c>
      <c r="I15" s="12">
        <f>SUM(I12:I14)</f>
        <v>0</v>
      </c>
      <c r="J15" s="12">
        <f>SUM(J12:J14)</f>
        <v>0</v>
      </c>
      <c r="K15" s="12">
        <f>SUM(K12:K14)</f>
        <v>0</v>
      </c>
      <c r="L15" s="12">
        <f>SUM(L12:L14)</f>
        <v>0</v>
      </c>
      <c r="M15" s="12">
        <f>SUM(M12:M14)</f>
        <v>0</v>
      </c>
      <c r="N15" s="12">
        <f>SUM(N12:N14)</f>
        <v>0</v>
      </c>
      <c r="O15" s="12">
        <f>SUM(O12:O14)</f>
        <v>0</v>
      </c>
      <c r="P15" s="12">
        <f>SUM(P12:P14)</f>
        <v>0</v>
      </c>
      <c r="Q15" s="12">
        <f>SUM(Q12:Q14)</f>
        <v>0</v>
      </c>
    </row>
    <row r="16" spans="2:17">
      <c r="B16" s="9" t="s">
        <v>32</v>
      </c>
      <c r="C16" s="10">
        <f>SUM(E16:Q16)</f>
        <v>0</v>
      </c>
      <c r="D16" s="10">
        <f>C16/13</f>
        <v>0</v>
      </c>
      <c r="E16" s="10">
        <v>30000</v>
      </c>
      <c r="F16" s="10">
        <v>52000</v>
      </c>
      <c r="G16" s="10">
        <v>30000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30000</v>
      </c>
      <c r="P16" s="10">
        <v>30000</v>
      </c>
      <c r="Q16" s="10">
        <v>9000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1500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8400</v>
      </c>
      <c r="F18" s="10">
        <v>103900</v>
      </c>
      <c r="G18" s="10">
        <v>51800</v>
      </c>
      <c r="H18" s="10">
        <v>65100</v>
      </c>
      <c r="I18" s="10">
        <v>63300</v>
      </c>
      <c r="J18" s="10">
        <v>76500</v>
      </c>
      <c r="K18" s="10">
        <v>123900</v>
      </c>
      <c r="L18" s="10">
        <v>105000</v>
      </c>
      <c r="M18" s="10">
        <v>149700</v>
      </c>
      <c r="N18" s="10">
        <v>42650</v>
      </c>
      <c r="O18" s="10">
        <v>102550</v>
      </c>
      <c r="P18" s="10">
        <v>69950</v>
      </c>
      <c r="Q18" s="10">
        <v>19200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1473196</v>
      </c>
      <c r="F19" s="10">
        <v>409743</v>
      </c>
      <c r="G19" s="10">
        <v>404744</v>
      </c>
      <c r="H19" s="10">
        <v>305534</v>
      </c>
      <c r="I19" s="10">
        <v>230575</v>
      </c>
      <c r="J19" s="10">
        <v>1898533</v>
      </c>
      <c r="K19" s="10">
        <v>351804</v>
      </c>
      <c r="L19" s="10">
        <v>916276</v>
      </c>
      <c r="M19" s="10">
        <v>954755</v>
      </c>
      <c r="N19" s="10">
        <v>319303</v>
      </c>
      <c r="O19" s="10">
        <v>286398</v>
      </c>
      <c r="P19" s="10">
        <v>323131</v>
      </c>
      <c r="Q19" s="10">
        <v>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403200</v>
      </c>
      <c r="F20" s="10">
        <v>205200</v>
      </c>
      <c r="G20" s="10">
        <v>0</v>
      </c>
      <c r="H20" s="10">
        <v>262000</v>
      </c>
      <c r="I20" s="10">
        <v>0</v>
      </c>
      <c r="J20" s="10">
        <v>0</v>
      </c>
      <c r="K20" s="10">
        <v>441000</v>
      </c>
      <c r="L20" s="10">
        <v>190000</v>
      </c>
      <c r="M20" s="10">
        <v>68000</v>
      </c>
      <c r="N20" s="10">
        <v>1500</v>
      </c>
      <c r="O20" s="10">
        <v>362000</v>
      </c>
      <c r="P20" s="10">
        <v>92000</v>
      </c>
      <c r="Q20" s="10">
        <v>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0</v>
      </c>
      <c r="F21" s="10">
        <v>0</v>
      </c>
      <c r="G21" s="10">
        <v>0</v>
      </c>
      <c r="H21" s="10">
        <v>6900</v>
      </c>
      <c r="I21" s="10">
        <v>33000</v>
      </c>
      <c r="J21" s="10">
        <v>66000</v>
      </c>
      <c r="K21" s="10">
        <v>0</v>
      </c>
      <c r="L21" s="10">
        <v>346500</v>
      </c>
      <c r="M21" s="10">
        <v>456730</v>
      </c>
      <c r="N21" s="10">
        <v>0</v>
      </c>
      <c r="O21" s="10">
        <v>0</v>
      </c>
      <c r="P21" s="10">
        <v>0</v>
      </c>
      <c r="Q21" s="10">
        <v>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0</v>
      </c>
      <c r="F22" s="10">
        <v>52750</v>
      </c>
      <c r="G22" s="10">
        <v>40400</v>
      </c>
      <c r="H22" s="10">
        <v>20980</v>
      </c>
      <c r="I22" s="10">
        <v>106540</v>
      </c>
      <c r="J22" s="10">
        <v>42460</v>
      </c>
      <c r="K22" s="10">
        <v>109360</v>
      </c>
      <c r="L22" s="10">
        <v>85380</v>
      </c>
      <c r="M22" s="10">
        <v>381844</v>
      </c>
      <c r="N22" s="10">
        <v>289170</v>
      </c>
      <c r="O22" s="10">
        <v>386020</v>
      </c>
      <c r="P22" s="10">
        <v>81350</v>
      </c>
      <c r="Q22" s="10">
        <v>15310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613500</v>
      </c>
      <c r="M23" s="10">
        <v>9003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117000</v>
      </c>
      <c r="F24" s="10">
        <v>0</v>
      </c>
      <c r="G24" s="10">
        <v>326300</v>
      </c>
      <c r="H24" s="10">
        <v>97800</v>
      </c>
      <c r="I24" s="10">
        <v>747290</v>
      </c>
      <c r="J24" s="10">
        <v>0</v>
      </c>
      <c r="K24" s="10">
        <v>709000</v>
      </c>
      <c r="L24" s="10">
        <v>947700</v>
      </c>
      <c r="M24" s="10">
        <v>864304</v>
      </c>
      <c r="N24" s="10">
        <v>634083</v>
      </c>
      <c r="O24" s="10">
        <v>213600</v>
      </c>
      <c r="P24" s="10">
        <v>484900</v>
      </c>
      <c r="Q24" s="10">
        <v>85000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23657</v>
      </c>
      <c r="F25" s="10">
        <v>16400</v>
      </c>
      <c r="G25" s="10">
        <v>38850</v>
      </c>
      <c r="H25" s="10">
        <v>22600</v>
      </c>
      <c r="I25" s="10">
        <v>0</v>
      </c>
      <c r="J25" s="10">
        <v>69506</v>
      </c>
      <c r="K25" s="10">
        <v>180100</v>
      </c>
      <c r="L25" s="10">
        <v>174400</v>
      </c>
      <c r="M25" s="10">
        <v>592590</v>
      </c>
      <c r="N25" s="10">
        <v>0</v>
      </c>
      <c r="O25" s="10">
        <v>52890</v>
      </c>
      <c r="P25" s="10">
        <v>11459</v>
      </c>
      <c r="Q25" s="10">
        <v>84750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596920</v>
      </c>
      <c r="F26" s="10">
        <v>973905</v>
      </c>
      <c r="G26" s="10">
        <v>814840</v>
      </c>
      <c r="H26" s="10">
        <v>770942</v>
      </c>
      <c r="I26" s="10">
        <v>988460</v>
      </c>
      <c r="J26" s="10">
        <v>1599620</v>
      </c>
      <c r="K26" s="10">
        <v>1427695</v>
      </c>
      <c r="L26" s="10">
        <v>889200</v>
      </c>
      <c r="M26" s="10">
        <v>3748038</v>
      </c>
      <c r="N26" s="10">
        <v>1523140</v>
      </c>
      <c r="O26" s="10">
        <v>410440</v>
      </c>
      <c r="P26" s="10">
        <v>1274410</v>
      </c>
      <c r="Q26" s="10">
        <v>248910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0</v>
      </c>
      <c r="F27" s="10">
        <v>0</v>
      </c>
      <c r="G27" s="10">
        <v>25400</v>
      </c>
      <c r="H27" s="10">
        <v>6000</v>
      </c>
      <c r="I27" s="10">
        <v>0</v>
      </c>
      <c r="J27" s="10">
        <v>235100</v>
      </c>
      <c r="K27" s="10">
        <v>74600</v>
      </c>
      <c r="L27" s="10">
        <v>6000</v>
      </c>
      <c r="M27" s="10">
        <v>230000</v>
      </c>
      <c r="N27" s="10">
        <v>5000</v>
      </c>
      <c r="O27" s="10">
        <v>26000</v>
      </c>
      <c r="P27" s="10">
        <v>9300</v>
      </c>
      <c r="Q27" s="10">
        <v>12000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96620</v>
      </c>
      <c r="F28" s="10">
        <v>126816</v>
      </c>
      <c r="G28" s="10">
        <v>81480</v>
      </c>
      <c r="H28" s="10">
        <v>58847</v>
      </c>
      <c r="I28" s="10">
        <v>216562</v>
      </c>
      <c r="J28" s="10">
        <v>91480</v>
      </c>
      <c r="K28" s="10">
        <v>82020</v>
      </c>
      <c r="L28" s="10">
        <v>82120</v>
      </c>
      <c r="M28" s="10">
        <v>86620</v>
      </c>
      <c r="N28" s="10">
        <v>82120</v>
      </c>
      <c r="O28" s="10">
        <v>82120</v>
      </c>
      <c r="P28" s="10">
        <v>202830</v>
      </c>
      <c r="Q28" s="10">
        <v>1000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0</v>
      </c>
      <c r="F29" s="10">
        <v>90700</v>
      </c>
      <c r="G29" s="10">
        <v>51300</v>
      </c>
      <c r="H29" s="10">
        <v>0</v>
      </c>
      <c r="I29" s="10">
        <v>47600</v>
      </c>
      <c r="J29" s="10">
        <v>10000</v>
      </c>
      <c r="K29" s="10">
        <v>10000</v>
      </c>
      <c r="L29" s="10">
        <v>117100</v>
      </c>
      <c r="M29" s="10">
        <v>278552</v>
      </c>
      <c r="N29" s="10">
        <v>126800</v>
      </c>
      <c r="O29" s="10">
        <v>116500</v>
      </c>
      <c r="P29" s="10">
        <v>24400</v>
      </c>
      <c r="Q29" s="10">
        <v>230200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0</v>
      </c>
      <c r="F30" s="10">
        <v>0</v>
      </c>
      <c r="G30" s="10">
        <v>0</v>
      </c>
      <c r="H30" s="10">
        <v>0</v>
      </c>
      <c r="I30" s="10">
        <v>226764</v>
      </c>
      <c r="J30" s="10">
        <v>394660</v>
      </c>
      <c r="K30" s="10">
        <v>0</v>
      </c>
      <c r="L30" s="10">
        <v>7900</v>
      </c>
      <c r="M30" s="10">
        <v>595882</v>
      </c>
      <c r="N30" s="10">
        <v>0</v>
      </c>
      <c r="O30" s="10">
        <v>61000</v>
      </c>
      <c r="P30" s="10">
        <v>27000</v>
      </c>
      <c r="Q30" s="10">
        <v>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78630</v>
      </c>
      <c r="F31" s="10">
        <v>227180</v>
      </c>
      <c r="G31" s="10">
        <v>0</v>
      </c>
      <c r="H31" s="10">
        <v>1900</v>
      </c>
      <c r="I31" s="10">
        <v>2800</v>
      </c>
      <c r="J31" s="10">
        <v>1000</v>
      </c>
      <c r="K31" s="10">
        <v>11600</v>
      </c>
      <c r="L31" s="10">
        <v>4000</v>
      </c>
      <c r="M31" s="10">
        <v>8500</v>
      </c>
      <c r="N31" s="10">
        <v>8700</v>
      </c>
      <c r="O31" s="10">
        <v>21800</v>
      </c>
      <c r="P31" s="10">
        <v>19300</v>
      </c>
      <c r="Q31" s="10">
        <v>7600</v>
      </c>
    </row>
    <row r="32" spans="2:17">
      <c r="B32" s="11" t="s">
        <v>48</v>
      </c>
      <c r="C32" s="12">
        <f>SUM(E32:Q32)</f>
        <v>0</v>
      </c>
      <c r="D32" s="12">
        <f>C32/13</f>
        <v>0</v>
      </c>
      <c r="E32" s="12">
        <f>SUM(E16:E31)</f>
        <v>0</v>
      </c>
      <c r="F32" s="12">
        <f>SUM(F16:F31)</f>
        <v>0</v>
      </c>
      <c r="G32" s="12">
        <f>SUM(G16:G31)</f>
        <v>0</v>
      </c>
      <c r="H32" s="12">
        <f>SUM(H16:H31)</f>
        <v>0</v>
      </c>
      <c r="I32" s="12">
        <f>SUM(I16:I31)</f>
        <v>0</v>
      </c>
      <c r="J32" s="12">
        <f>SUM(J16:J31)</f>
        <v>0</v>
      </c>
      <c r="K32" s="12">
        <f>SUM(K16:K31)</f>
        <v>0</v>
      </c>
      <c r="L32" s="12">
        <f>SUM(L16:L31)</f>
        <v>0</v>
      </c>
      <c r="M32" s="12">
        <f>SUM(M16:M31)</f>
        <v>0</v>
      </c>
      <c r="N32" s="12">
        <f>SUM(N16:N31)</f>
        <v>0</v>
      </c>
      <c r="O32" s="12">
        <f>SUM(O16:O31)</f>
        <v>0</v>
      </c>
      <c r="P32" s="12">
        <f>SUM(P16:P31)</f>
        <v>0</v>
      </c>
      <c r="Q32" s="12">
        <f>SUM(Q16:Q31)</f>
        <v>0</v>
      </c>
    </row>
    <row r="33" spans="2:17">
      <c r="B33" s="13" t="s">
        <v>49</v>
      </c>
      <c r="C33" s="14">
        <f>SUM(E33:Q33)</f>
        <v>0</v>
      </c>
      <c r="D33" s="14">
        <f>C33/13</f>
        <v>0</v>
      </c>
      <c r="E33" s="14">
        <f>E15-E32</f>
        <v>0</v>
      </c>
      <c r="F33" s="14">
        <f>F15-F32</f>
        <v>0</v>
      </c>
      <c r="G33" s="14">
        <f>G15-G32</f>
        <v>0</v>
      </c>
      <c r="H33" s="14">
        <f>H15-H32</f>
        <v>0</v>
      </c>
      <c r="I33" s="14">
        <f>I15-I32</f>
        <v>0</v>
      </c>
      <c r="J33" s="14">
        <f>J15-J32</f>
        <v>0</v>
      </c>
      <c r="K33" s="14">
        <f>K15-K32</f>
        <v>0</v>
      </c>
      <c r="L33" s="14">
        <f>L15-L32</f>
        <v>0</v>
      </c>
      <c r="M33" s="14">
        <f>M15-M32</f>
        <v>0</v>
      </c>
      <c r="N33" s="14">
        <f>N15-N32</f>
        <v>0</v>
      </c>
      <c r="O33" s="14">
        <f>O15-O32</f>
        <v>0</v>
      </c>
      <c r="P33" s="14">
        <f>P15-P32</f>
        <v>0</v>
      </c>
      <c r="Q33" s="14">
        <f>Q15-Q32</f>
        <v>0</v>
      </c>
    </row>
    <row r="36" spans="2:17">
      <c r="B36" s="1" t="s">
        <v>50</v>
      </c>
    </row>
    <row r="37" spans="2:17">
      <c r="B37" t="s">
        <v>51</v>
      </c>
    </row>
    <row r="38" spans="2:17">
      <c r="B38" s="15" t="s">
        <v>52</v>
      </c>
      <c r="C38" s="15"/>
      <c r="D38" s="15"/>
      <c r="E38" s="15"/>
      <c r="F38" s="16" t="s">
        <v>53</v>
      </c>
      <c r="G38" s="16"/>
      <c r="H38" s="16"/>
      <c r="I38" s="16"/>
    </row>
    <row r="39" spans="2:17">
      <c r="B39" s="17" t="s">
        <v>12</v>
      </c>
      <c r="C39" s="18" t="s">
        <v>54</v>
      </c>
      <c r="D39" s="18"/>
      <c r="E39" s="18" t="s">
        <v>55</v>
      </c>
      <c r="F39" s="18" t="s">
        <v>12</v>
      </c>
      <c r="G39" s="18" t="s">
        <v>54</v>
      </c>
      <c r="H39" s="18"/>
      <c r="I39" s="18" t="s">
        <v>55</v>
      </c>
    </row>
    <row r="40" spans="2:17">
      <c r="B40" s="19" t="s">
        <v>56</v>
      </c>
      <c r="C40" s="20" t="s">
        <v>57</v>
      </c>
      <c r="D40" s="20"/>
      <c r="E40" s="21">
        <v>-38689487</v>
      </c>
      <c r="F40" s="22" t="s">
        <v>84</v>
      </c>
      <c r="G40" s="20" t="s">
        <v>85</v>
      </c>
      <c r="H40" s="20"/>
      <c r="I40" s="23">
        <v>54885538</v>
      </c>
    </row>
    <row r="41" spans="2:17">
      <c r="B41" s="19"/>
      <c r="C41" s="20" t="s">
        <v>58</v>
      </c>
      <c r="D41" s="20"/>
      <c r="E41" s="21">
        <v>64000</v>
      </c>
      <c r="F41" s="22"/>
      <c r="G41" s="20" t="s">
        <v>85</v>
      </c>
      <c r="H41" s="20"/>
      <c r="I41" s="23">
        <v>38689487</v>
      </c>
    </row>
    <row r="42" spans="2:17">
      <c r="B42" s="19"/>
      <c r="C42" s="20" t="s">
        <v>58</v>
      </c>
      <c r="D42" s="20"/>
      <c r="E42" s="21">
        <v>1035776</v>
      </c>
      <c r="F42" s="22"/>
      <c r="G42" s="20" t="s">
        <v>86</v>
      </c>
      <c r="H42" s="20"/>
      <c r="I42" s="23">
        <v>900000</v>
      </c>
    </row>
    <row r="43" spans="2:17">
      <c r="B43" s="19"/>
      <c r="C43" s="20" t="s">
        <v>59</v>
      </c>
      <c r="D43" s="20"/>
      <c r="E43" s="21">
        <v>7799</v>
      </c>
      <c r="F43" s="20"/>
      <c r="G43" s="20"/>
      <c r="H43" s="20"/>
      <c r="I43" s="24"/>
    </row>
    <row r="44" spans="2:17">
      <c r="B44" s="19"/>
      <c r="C44" s="20" t="s">
        <v>60</v>
      </c>
      <c r="D44" s="20"/>
      <c r="E44" s="21">
        <v>47654</v>
      </c>
      <c r="F44" s="20"/>
      <c r="G44" s="20"/>
      <c r="H44" s="20"/>
      <c r="I44" s="24"/>
    </row>
    <row r="45" spans="2:17">
      <c r="B45" s="19"/>
      <c r="C45" s="20" t="s">
        <v>61</v>
      </c>
      <c r="D45" s="20"/>
      <c r="E45" s="21">
        <v>-54885538</v>
      </c>
      <c r="F45" s="20"/>
      <c r="G45" s="20"/>
      <c r="H45" s="20"/>
      <c r="I45" s="24"/>
    </row>
    <row r="46" spans="2:17">
      <c r="B46" s="19" t="s">
        <v>62</v>
      </c>
      <c r="C46" s="20"/>
      <c r="D46" s="20"/>
      <c r="E46" s="21"/>
      <c r="F46" s="20"/>
      <c r="G46" s="20"/>
      <c r="H46" s="20"/>
      <c r="I46" s="24"/>
    </row>
    <row r="47" spans="2:17">
      <c r="B47" s="19" t="s">
        <v>63</v>
      </c>
      <c r="C47" s="20" t="s">
        <v>64</v>
      </c>
      <c r="D47" s="20"/>
      <c r="E47" s="21">
        <v>0</v>
      </c>
      <c r="F47" s="20"/>
      <c r="G47" s="20"/>
      <c r="H47" s="20"/>
      <c r="I47" s="24"/>
    </row>
    <row r="48" spans="2:17">
      <c r="B48" s="19" t="s">
        <v>65</v>
      </c>
      <c r="C48" s="20" t="s">
        <v>66</v>
      </c>
      <c r="D48" s="20"/>
      <c r="E48" s="21">
        <v>7500000</v>
      </c>
      <c r="F48" s="20"/>
      <c r="G48" s="20"/>
      <c r="H48" s="20"/>
      <c r="I48" s="24"/>
    </row>
    <row r="49" spans="2:9">
      <c r="B49" s="19" t="s">
        <v>67</v>
      </c>
      <c r="C49" s="20" t="s">
        <v>68</v>
      </c>
      <c r="D49" s="20"/>
      <c r="E49" s="21">
        <v>0</v>
      </c>
      <c r="F49" s="20"/>
      <c r="G49" s="20"/>
      <c r="H49" s="20"/>
      <c r="I49" s="24"/>
    </row>
    <row r="50" spans="2:9">
      <c r="B50" s="19" t="s">
        <v>69</v>
      </c>
      <c r="C50" s="20" t="s">
        <v>70</v>
      </c>
      <c r="D50" s="20"/>
      <c r="E50" s="21">
        <v>101251</v>
      </c>
      <c r="F50" s="20"/>
      <c r="G50" s="20"/>
      <c r="H50" s="20"/>
      <c r="I50" s="24"/>
    </row>
    <row r="51" spans="2:9">
      <c r="B51" s="19"/>
      <c r="C51" s="20" t="s">
        <v>71</v>
      </c>
      <c r="D51" s="20"/>
      <c r="E51" s="21">
        <v>122400</v>
      </c>
      <c r="F51" s="20"/>
      <c r="G51" s="20"/>
      <c r="H51" s="20"/>
      <c r="I51" s="24"/>
    </row>
    <row r="52" spans="2:9">
      <c r="B52" s="19"/>
      <c r="C52" s="20" t="s">
        <v>72</v>
      </c>
      <c r="D52" s="20"/>
      <c r="E52" s="21">
        <v>672000</v>
      </c>
      <c r="F52" s="20"/>
      <c r="G52" s="20"/>
      <c r="H52" s="20"/>
      <c r="I52" s="24"/>
    </row>
    <row r="53" spans="2:9">
      <c r="B53" s="19"/>
      <c r="C53" s="20" t="s">
        <v>73</v>
      </c>
      <c r="D53" s="20"/>
      <c r="E53" s="21">
        <v>286000</v>
      </c>
      <c r="F53" s="20"/>
      <c r="G53" s="20"/>
      <c r="H53" s="20"/>
      <c r="I53" s="24"/>
    </row>
    <row r="54" spans="2:9">
      <c r="B54" s="19"/>
      <c r="C54" s="20" t="s">
        <v>74</v>
      </c>
      <c r="D54" s="20"/>
      <c r="E54" s="21">
        <v>122713</v>
      </c>
      <c r="F54" s="20"/>
      <c r="G54" s="20"/>
      <c r="H54" s="20"/>
      <c r="I54" s="24"/>
    </row>
    <row r="55" spans="2:9">
      <c r="B55" s="19"/>
      <c r="C55" s="20" t="s">
        <v>75</v>
      </c>
      <c r="D55" s="20"/>
      <c r="E55" s="21">
        <v>174</v>
      </c>
      <c r="F55" s="20"/>
      <c r="G55" s="20"/>
      <c r="H55" s="20"/>
      <c r="I55" s="24"/>
    </row>
    <row r="56" spans="2:9">
      <c r="B56" s="19"/>
      <c r="C56" s="20" t="s">
        <v>76</v>
      </c>
      <c r="D56" s="20"/>
      <c r="E56" s="21">
        <v>3660</v>
      </c>
      <c r="F56" s="20"/>
      <c r="G56" s="20"/>
      <c r="H56" s="20"/>
      <c r="I56" s="24"/>
    </row>
    <row r="57" spans="2:9">
      <c r="B57" s="19" t="s">
        <v>77</v>
      </c>
      <c r="C57" s="20"/>
      <c r="D57" s="20"/>
      <c r="E57" s="21"/>
      <c r="F57" s="20"/>
      <c r="G57" s="20"/>
      <c r="H57" s="20"/>
      <c r="I57" s="24"/>
    </row>
    <row r="58" spans="2:9">
      <c r="B58" s="19" t="s">
        <v>78</v>
      </c>
      <c r="C58" s="20"/>
      <c r="D58" s="20"/>
      <c r="E58" s="21"/>
      <c r="F58" s="20"/>
      <c r="G58" s="20"/>
      <c r="H58" s="20"/>
      <c r="I58" s="24"/>
    </row>
    <row r="59" spans="2:9">
      <c r="B59" s="19" t="s">
        <v>79</v>
      </c>
      <c r="C59" s="20"/>
      <c r="D59" s="20"/>
      <c r="E59" s="21"/>
      <c r="F59" s="20"/>
      <c r="G59" s="20"/>
      <c r="H59" s="20"/>
      <c r="I59" s="24"/>
    </row>
    <row r="60" spans="2:9">
      <c r="B60" s="19" t="s">
        <v>80</v>
      </c>
      <c r="C60" s="20" t="s">
        <v>81</v>
      </c>
      <c r="D60" s="20"/>
      <c r="E60" s="21">
        <v>0</v>
      </c>
      <c r="F60" s="20"/>
      <c r="G60" s="20"/>
      <c r="H60" s="20"/>
      <c r="I60" s="24"/>
    </row>
    <row r="61" spans="2:9">
      <c r="B61" s="19"/>
      <c r="C61" s="20" t="s">
        <v>82</v>
      </c>
      <c r="D61" s="20"/>
      <c r="E61" s="21">
        <v>0</v>
      </c>
      <c r="F61" s="20"/>
      <c r="G61" s="20"/>
      <c r="H61" s="20"/>
      <c r="I61" s="24"/>
    </row>
    <row r="62" spans="2:9">
      <c r="B62" s="19" t="s">
        <v>83</v>
      </c>
      <c r="C62" s="20" t="s">
        <v>66</v>
      </c>
      <c r="D62" s="20"/>
      <c r="E62" s="21">
        <v>7500000</v>
      </c>
      <c r="F62" s="20"/>
      <c r="G62" s="20"/>
      <c r="H62" s="20"/>
      <c r="I62" s="24"/>
    </row>
    <row r="63" spans="2:9">
      <c r="B63" s="25" t="s">
        <v>87</v>
      </c>
      <c r="C63" s="25"/>
      <c r="D63" s="25"/>
      <c r="E63" s="26">
        <f>SUM(E40:E62)</f>
        <v>0</v>
      </c>
      <c r="F63" s="27" t="s">
        <v>88</v>
      </c>
      <c r="G63" s="27"/>
      <c r="H63" s="27"/>
      <c r="I63" s="28">
        <f>SUM(I40:I62)</f>
        <v>0</v>
      </c>
    </row>
    <row r="64" spans="2:9">
      <c r="B64" s="29" t="s">
        <v>89</v>
      </c>
      <c r="C64" s="29"/>
      <c r="D64" s="29"/>
      <c r="E64" s="29"/>
      <c r="F64" s="29"/>
      <c r="G64" s="29"/>
      <c r="H64" s="29"/>
      <c r="I64" s="29"/>
    </row>
    <row r="65" spans="2:10">
      <c r="B65" s="30">
        <f>E63-I63</f>
        <v>0</v>
      </c>
      <c r="C65" s="30"/>
      <c r="D65" s="30"/>
      <c r="E65" s="30"/>
      <c r="F65" s="30"/>
      <c r="G65" s="30"/>
      <c r="H65" s="30"/>
      <c r="I65" s="30"/>
    </row>
    <row r="68" spans="2:10">
      <c r="B68" s="1" t="s">
        <v>90</v>
      </c>
    </row>
    <row r="69" spans="2:10">
      <c r="B69" t="s">
        <v>91</v>
      </c>
    </row>
    <row r="70" spans="2:10">
      <c r="B70" s="31" t="s">
        <v>92</v>
      </c>
      <c r="C70" s="32" t="s">
        <v>93</v>
      </c>
      <c r="D70" s="32"/>
      <c r="E70" s="32" t="s">
        <v>94</v>
      </c>
      <c r="F70" s="32" t="s">
        <v>95</v>
      </c>
      <c r="G70" s="32" t="s">
        <v>96</v>
      </c>
      <c r="H70" s="32" t="s">
        <v>97</v>
      </c>
    </row>
    <row r="71" spans="2:10">
      <c r="B71" s="33" t="s">
        <v>98</v>
      </c>
      <c r="C71" s="34" t="s">
        <v>81</v>
      </c>
      <c r="D71" s="34"/>
      <c r="E71" s="35" t="s">
        <v>99</v>
      </c>
      <c r="F71" s="36">
        <v>502629682</v>
      </c>
      <c r="G71" s="37">
        <v>45710</v>
      </c>
      <c r="H71" s="37">
        <v>71642</v>
      </c>
    </row>
    <row r="72" spans="2:10">
      <c r="B72" s="33" t="s">
        <v>98</v>
      </c>
      <c r="C72" s="34" t="s">
        <v>82</v>
      </c>
      <c r="D72" s="34"/>
      <c r="E72" s="35" t="s">
        <v>99</v>
      </c>
      <c r="F72" s="36">
        <v>410320000</v>
      </c>
      <c r="G72" s="37">
        <v>40483</v>
      </c>
      <c r="H72" s="37">
        <v>71529</v>
      </c>
    </row>
    <row r="73" spans="2:10">
      <c r="B73" s="38" t="s">
        <v>13</v>
      </c>
      <c r="C73" s="39" t="s">
        <v>100</v>
      </c>
      <c r="D73" s="39"/>
      <c r="E73" s="39" t="s">
        <v>101</v>
      </c>
      <c r="F73" s="39" t="s">
        <v>102</v>
      </c>
      <c r="G73" s="39"/>
      <c r="H73" s="40"/>
    </row>
    <row r="74" spans="2:10">
      <c r="B74" s="38"/>
      <c r="C74" s="41" t="s">
        <v>103</v>
      </c>
      <c r="D74" s="41"/>
      <c r="E74" s="41" t="s">
        <v>104</v>
      </c>
      <c r="F74" s="42">
        <f>SUM(F71:F72)</f>
        <v>0</v>
      </c>
      <c r="G74" s="41"/>
      <c r="H74" s="43"/>
    </row>
    <row r="76" spans="2:10">
      <c r="B76" s="1" t="s">
        <v>105</v>
      </c>
    </row>
    <row r="77" spans="2:10">
      <c r="B77" t="s">
        <v>106</v>
      </c>
    </row>
    <row r="78" spans="2:10">
      <c r="B78" s="31" t="s">
        <v>107</v>
      </c>
      <c r="C78" s="32" t="s">
        <v>92</v>
      </c>
      <c r="D78" s="32" t="s">
        <v>54</v>
      </c>
      <c r="E78" s="32"/>
      <c r="F78" s="32" t="s">
        <v>108</v>
      </c>
      <c r="G78" s="32" t="s">
        <v>109</v>
      </c>
      <c r="H78" s="32" t="s">
        <v>110</v>
      </c>
      <c r="I78" s="32" t="s">
        <v>111</v>
      </c>
      <c r="J78" s="32" t="s">
        <v>97</v>
      </c>
    </row>
    <row r="79" spans="2:10">
      <c r="B79" s="33" t="s">
        <v>112</v>
      </c>
      <c r="C79" s="34" t="s">
        <v>113</v>
      </c>
      <c r="D79" s="34" t="s">
        <v>70</v>
      </c>
      <c r="E79" s="34"/>
      <c r="F79" s="36">
        <v>106803</v>
      </c>
      <c r="G79" s="36">
        <v>101251</v>
      </c>
      <c r="H79" s="44">
        <v>-5.198355851427395</v>
      </c>
      <c r="I79" s="37"/>
      <c r="J79" s="37"/>
    </row>
    <row r="80" spans="2:10">
      <c r="B80" s="33" t="s">
        <v>114</v>
      </c>
      <c r="C80" s="34" t="s">
        <v>115</v>
      </c>
      <c r="D80" s="34" t="s">
        <v>71</v>
      </c>
      <c r="E80" s="34"/>
      <c r="F80" s="36">
        <v>148800</v>
      </c>
      <c r="G80" s="36">
        <v>122400</v>
      </c>
      <c r="H80" s="44">
        <v>-17.74193548387097</v>
      </c>
      <c r="I80" s="37"/>
      <c r="J80" s="37"/>
    </row>
    <row r="81" spans="2:10">
      <c r="B81" s="33" t="s">
        <v>114</v>
      </c>
      <c r="C81" s="34" t="s">
        <v>115</v>
      </c>
      <c r="D81" s="34" t="s">
        <v>72</v>
      </c>
      <c r="E81" s="34"/>
      <c r="F81" s="36">
        <v>91500</v>
      </c>
      <c r="G81" s="36">
        <v>672000</v>
      </c>
      <c r="H81" s="44">
        <v>634.4262295081967</v>
      </c>
      <c r="I81" s="37"/>
      <c r="J81" s="37"/>
    </row>
    <row r="82" spans="2:10">
      <c r="B82" s="33" t="s">
        <v>114</v>
      </c>
      <c r="C82" s="34" t="s">
        <v>116</v>
      </c>
      <c r="D82" s="34" t="s">
        <v>73</v>
      </c>
      <c r="E82" s="34"/>
      <c r="F82" s="36">
        <v>291800</v>
      </c>
      <c r="G82" s="36">
        <v>286000</v>
      </c>
      <c r="H82" s="44">
        <v>-1.987662782727896</v>
      </c>
      <c r="I82" s="37"/>
      <c r="J82" s="37"/>
    </row>
    <row r="83" spans="2:10">
      <c r="B83" s="45" t="s">
        <v>13</v>
      </c>
      <c r="C83" s="39"/>
      <c r="D83" s="39" t="s">
        <v>117</v>
      </c>
      <c r="E83" s="39"/>
      <c r="F83" s="39" t="s">
        <v>118</v>
      </c>
      <c r="G83" s="39" t="s">
        <v>119</v>
      </c>
      <c r="H83" s="39" t="s">
        <v>120</v>
      </c>
      <c r="I83" s="39"/>
      <c r="J83" s="40"/>
    </row>
    <row r="84" spans="2:10">
      <c r="B84" s="45"/>
      <c r="C84" s="41"/>
      <c r="D84" s="41" t="s">
        <v>121</v>
      </c>
      <c r="E84" s="41"/>
      <c r="F84" s="42">
        <f>SUM(F79:F82)</f>
        <v>0</v>
      </c>
      <c r="G84" s="42">
        <f>SUM(G79:G82)</f>
        <v>0</v>
      </c>
      <c r="H84" s="46">
        <f>(SUM(G79:G82) - SUM(F79:F82)) * 100 / IF(SUM(F79:F82), SUM(F79:F82), 1)</f>
        <v>0</v>
      </c>
      <c r="I84" s="41"/>
      <c r="J84" s="43"/>
    </row>
    <row r="86" spans="2:10">
      <c r="B86" s="1" t="s">
        <v>122</v>
      </c>
    </row>
    <row r="87" spans="2:10">
      <c r="B87" t="s">
        <v>123</v>
      </c>
    </row>
    <row r="88" spans="2:10">
      <c r="B88" s="47" t="s">
        <v>124</v>
      </c>
      <c r="C88" s="48" t="s">
        <v>92</v>
      </c>
      <c r="D88" s="48" t="s">
        <v>54</v>
      </c>
      <c r="E88" s="48"/>
      <c r="F88" s="48" t="s">
        <v>125</v>
      </c>
      <c r="G88" s="48" t="s">
        <v>126</v>
      </c>
      <c r="H88" s="48" t="s">
        <v>127</v>
      </c>
      <c r="I88" s="48" t="s">
        <v>128</v>
      </c>
      <c r="J88" s="48" t="s">
        <v>129</v>
      </c>
    </row>
    <row r="89" spans="2:10">
      <c r="B89" s="33" t="s">
        <v>130</v>
      </c>
      <c r="C89" s="34" t="s">
        <v>131</v>
      </c>
      <c r="D89" s="34" t="s">
        <v>85</v>
      </c>
      <c r="E89" s="34"/>
      <c r="F89" s="36">
        <v>70000000</v>
      </c>
      <c r="G89" s="36">
        <v>54885538</v>
      </c>
      <c r="H89" s="34">
        <v>4.31</v>
      </c>
      <c r="I89" s="37">
        <v>44991</v>
      </c>
      <c r="J89" s="37">
        <v>46087</v>
      </c>
    </row>
    <row r="90" spans="2:10">
      <c r="B90" s="33" t="s">
        <v>130</v>
      </c>
      <c r="C90" s="34" t="s">
        <v>131</v>
      </c>
      <c r="D90" s="34" t="s">
        <v>85</v>
      </c>
      <c r="E90" s="34"/>
      <c r="F90" s="36">
        <v>40000000</v>
      </c>
      <c r="G90" s="36">
        <v>38689487</v>
      </c>
      <c r="H90" s="34">
        <v>4.34</v>
      </c>
      <c r="I90" s="37">
        <v>44137</v>
      </c>
      <c r="J90" s="37">
        <v>45963</v>
      </c>
    </row>
    <row r="91" spans="2:10">
      <c r="B91" s="33" t="s">
        <v>132</v>
      </c>
      <c r="C91" s="34" t="s">
        <v>98</v>
      </c>
      <c r="D91" s="34" t="s">
        <v>86</v>
      </c>
      <c r="E91" s="34"/>
      <c r="F91" s="36">
        <v>900000</v>
      </c>
      <c r="G91" s="36">
        <v>900000</v>
      </c>
      <c r="H91" s="34">
        <v>0</v>
      </c>
      <c r="I91" s="37">
        <v>43508</v>
      </c>
      <c r="J91" s="37">
        <v>71529</v>
      </c>
    </row>
    <row r="92" spans="2:10">
      <c r="B92" s="45" t="s">
        <v>13</v>
      </c>
      <c r="C92" s="39"/>
      <c r="D92" s="39" t="s">
        <v>133</v>
      </c>
      <c r="E92" s="39"/>
      <c r="F92" s="39" t="s">
        <v>134</v>
      </c>
      <c r="G92" s="39" t="s">
        <v>135</v>
      </c>
      <c r="H92" s="39"/>
      <c r="I92" s="39"/>
      <c r="J92" s="40"/>
    </row>
    <row r="93" spans="2:10">
      <c r="B93" s="45"/>
      <c r="C93" s="41"/>
      <c r="D93" s="42">
        <f>SUM(3)</f>
        <v>0</v>
      </c>
      <c r="E93" s="42"/>
      <c r="F93" s="42">
        <f>SUM(F89:F91)</f>
        <v>0</v>
      </c>
      <c r="G93" s="42">
        <f>SUM(G89:G91)</f>
        <v>0</v>
      </c>
      <c r="H93" s="41"/>
      <c r="I93" s="41"/>
      <c r="J93" s="43"/>
    </row>
  </sheetData>
  <mergeCells count="81">
    <mergeCell ref="F5:G5"/>
    <mergeCell ref="F6:G6"/>
    <mergeCell ref="B38:E38"/>
    <mergeCell ref="F38:I38"/>
    <mergeCell ref="C39:D39"/>
    <mergeCell ref="G39:H39"/>
    <mergeCell ref="B40:B45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B50:B56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B60:B61"/>
    <mergeCell ref="C60:D60"/>
    <mergeCell ref="C61:D61"/>
    <mergeCell ref="C62:D62"/>
    <mergeCell ref="F40:F42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B63:D63"/>
    <mergeCell ref="F63:H63"/>
    <mergeCell ref="B64:I64"/>
    <mergeCell ref="B65:I65"/>
    <mergeCell ref="C70:D70"/>
    <mergeCell ref="C71:D71"/>
    <mergeCell ref="C72:D72"/>
    <mergeCell ref="B73:B74"/>
    <mergeCell ref="C73:D73"/>
    <mergeCell ref="C74:D74"/>
    <mergeCell ref="D78:E78"/>
    <mergeCell ref="D79:E79"/>
    <mergeCell ref="D80:E80"/>
    <mergeCell ref="D81:E81"/>
    <mergeCell ref="D82:E82"/>
    <mergeCell ref="B83:B84"/>
    <mergeCell ref="D83:E83"/>
    <mergeCell ref="D84:E84"/>
    <mergeCell ref="D88:E88"/>
    <mergeCell ref="D89:E89"/>
    <mergeCell ref="D90:E90"/>
    <mergeCell ref="D91:E91"/>
    <mergeCell ref="B92:B93"/>
    <mergeCell ref="D92:E92"/>
    <mergeCell ref="D93:E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8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136</v>
      </c>
      <c r="B1" s="49" t="s">
        <v>137</v>
      </c>
      <c r="C1" s="49" t="s">
        <v>138</v>
      </c>
      <c r="D1" s="49" t="s">
        <v>139</v>
      </c>
      <c r="E1" s="49" t="s">
        <v>140</v>
      </c>
      <c r="F1" s="49" t="s">
        <v>141</v>
      </c>
      <c r="G1" s="49" t="s">
        <v>55</v>
      </c>
      <c r="H1" s="49" t="s">
        <v>142</v>
      </c>
      <c r="I1" s="49" t="s">
        <v>143</v>
      </c>
      <c r="J1" s="49" t="s">
        <v>144</v>
      </c>
    </row>
    <row r="2" spans="1:10">
      <c r="A2" s="50">
        <v>45909</v>
      </c>
      <c r="B2" s="51">
        <v>0.7351388888888889</v>
      </c>
      <c r="C2" t="s">
        <v>145</v>
      </c>
      <c r="D2" t="s">
        <v>34</v>
      </c>
      <c r="E2" t="s">
        <v>47</v>
      </c>
      <c r="F2" t="s">
        <v>146</v>
      </c>
      <c r="G2">
        <v>-1850</v>
      </c>
      <c r="H2" t="s">
        <v>147</v>
      </c>
      <c r="I2" t="s">
        <v>148</v>
      </c>
    </row>
    <row r="3" spans="1:10">
      <c r="A3" s="50">
        <v>45909</v>
      </c>
      <c r="B3" s="51">
        <v>0.4785763888888889</v>
      </c>
      <c r="C3" t="s">
        <v>149</v>
      </c>
      <c r="D3" t="s">
        <v>28</v>
      </c>
      <c r="E3" t="s">
        <v>47</v>
      </c>
      <c r="F3" t="s">
        <v>150</v>
      </c>
      <c r="G3">
        <v>2000</v>
      </c>
      <c r="H3" t="s">
        <v>147</v>
      </c>
      <c r="I3" t="s">
        <v>57</v>
      </c>
    </row>
    <row r="4" spans="1:10">
      <c r="A4" s="50">
        <v>45909</v>
      </c>
      <c r="B4" s="51">
        <v>0.4752199074074074</v>
      </c>
      <c r="C4" t="s">
        <v>151</v>
      </c>
      <c r="D4" t="s">
        <v>151</v>
      </c>
      <c r="E4" t="s">
        <v>47</v>
      </c>
      <c r="F4" t="s">
        <v>152</v>
      </c>
      <c r="G4">
        <v>-105000</v>
      </c>
      <c r="H4" t="s">
        <v>147</v>
      </c>
      <c r="I4" t="s">
        <v>57</v>
      </c>
    </row>
    <row r="5" spans="1:10">
      <c r="A5" s="50">
        <v>45909</v>
      </c>
      <c r="B5" s="51">
        <v>0.2926851851851852</v>
      </c>
      <c r="C5" t="s">
        <v>145</v>
      </c>
      <c r="D5" t="s">
        <v>34</v>
      </c>
      <c r="E5" t="s">
        <v>47</v>
      </c>
      <c r="F5" t="s">
        <v>146</v>
      </c>
      <c r="G5">
        <v>-1850</v>
      </c>
      <c r="H5" t="s">
        <v>147</v>
      </c>
      <c r="I5" t="s">
        <v>148</v>
      </c>
    </row>
    <row r="6" spans="1:10">
      <c r="A6" s="50">
        <v>45908</v>
      </c>
      <c r="B6" s="51">
        <v>0.9647685185185185</v>
      </c>
      <c r="C6" t="s">
        <v>145</v>
      </c>
      <c r="D6" t="s">
        <v>42</v>
      </c>
      <c r="E6" t="s">
        <v>47</v>
      </c>
      <c r="F6" t="s">
        <v>153</v>
      </c>
      <c r="G6">
        <v>-32000</v>
      </c>
      <c r="H6" t="s">
        <v>147</v>
      </c>
      <c r="I6" t="s">
        <v>154</v>
      </c>
    </row>
    <row r="7" spans="1:10">
      <c r="A7" s="50">
        <v>45908</v>
      </c>
      <c r="B7" s="51">
        <v>0.7830902777777777</v>
      </c>
      <c r="C7" t="s">
        <v>145</v>
      </c>
      <c r="D7" t="s">
        <v>38</v>
      </c>
      <c r="E7" t="s">
        <v>47</v>
      </c>
      <c r="F7" t="s">
        <v>155</v>
      </c>
      <c r="G7">
        <v>-3160</v>
      </c>
      <c r="H7" t="s">
        <v>147</v>
      </c>
      <c r="I7" t="s">
        <v>148</v>
      </c>
    </row>
    <row r="8" spans="1:10">
      <c r="A8" s="50">
        <v>45908</v>
      </c>
      <c r="B8" s="51">
        <v>0.776886574074074</v>
      </c>
      <c r="C8" t="s">
        <v>145</v>
      </c>
      <c r="D8" t="s">
        <v>43</v>
      </c>
      <c r="E8" t="s">
        <v>47</v>
      </c>
      <c r="F8" t="s">
        <v>156</v>
      </c>
      <c r="G8">
        <v>-12000</v>
      </c>
      <c r="H8" t="s">
        <v>147</v>
      </c>
      <c r="I8" t="s">
        <v>148</v>
      </c>
    </row>
    <row r="9" spans="1:10">
      <c r="A9" s="50">
        <v>45908</v>
      </c>
      <c r="B9" s="51">
        <v>0.7606944444444445</v>
      </c>
      <c r="C9" t="s">
        <v>145</v>
      </c>
      <c r="D9" t="s">
        <v>41</v>
      </c>
      <c r="E9" t="s">
        <v>47</v>
      </c>
      <c r="F9" t="s">
        <v>157</v>
      </c>
      <c r="G9">
        <v>-62250</v>
      </c>
      <c r="H9" t="s">
        <v>147</v>
      </c>
      <c r="I9" t="s">
        <v>57</v>
      </c>
    </row>
    <row r="10" spans="1:10">
      <c r="A10" s="50">
        <v>45908</v>
      </c>
      <c r="B10" s="51">
        <v>0.7469907407407408</v>
      </c>
      <c r="C10" t="s">
        <v>145</v>
      </c>
      <c r="D10" t="s">
        <v>42</v>
      </c>
      <c r="E10" t="s">
        <v>47</v>
      </c>
      <c r="F10" t="s">
        <v>158</v>
      </c>
      <c r="G10">
        <v>-30000</v>
      </c>
      <c r="H10" t="s">
        <v>147</v>
      </c>
      <c r="I10" t="s">
        <v>57</v>
      </c>
    </row>
    <row r="11" spans="1:10">
      <c r="A11" s="50">
        <v>45907</v>
      </c>
      <c r="B11" s="51">
        <v>0.5429050925925926</v>
      </c>
      <c r="C11" t="s">
        <v>145</v>
      </c>
      <c r="D11" t="s">
        <v>42</v>
      </c>
      <c r="E11" t="s">
        <v>47</v>
      </c>
      <c r="F11" t="s">
        <v>159</v>
      </c>
      <c r="G11">
        <v>-116010</v>
      </c>
      <c r="H11" t="s">
        <v>147</v>
      </c>
      <c r="I11" t="s">
        <v>148</v>
      </c>
    </row>
    <row r="12" spans="1:10">
      <c r="A12" s="50">
        <v>45907</v>
      </c>
      <c r="B12" s="51">
        <v>0.43</v>
      </c>
      <c r="C12" t="s">
        <v>145</v>
      </c>
      <c r="D12" t="s">
        <v>42</v>
      </c>
      <c r="E12" t="s">
        <v>47</v>
      </c>
      <c r="F12" t="s">
        <v>153</v>
      </c>
      <c r="G12">
        <v>-47000</v>
      </c>
      <c r="H12" t="s">
        <v>147</v>
      </c>
      <c r="I12" t="s">
        <v>154</v>
      </c>
    </row>
    <row r="13" spans="1:10">
      <c r="A13" s="50">
        <v>45907</v>
      </c>
      <c r="B13" s="51">
        <v>0.43</v>
      </c>
      <c r="C13" t="s">
        <v>151</v>
      </c>
      <c r="D13" t="s">
        <v>160</v>
      </c>
      <c r="E13" t="s">
        <v>47</v>
      </c>
      <c r="F13" t="s">
        <v>161</v>
      </c>
      <c r="G13">
        <v>46998</v>
      </c>
      <c r="H13" t="s">
        <v>147</v>
      </c>
      <c r="I13" t="s">
        <v>162</v>
      </c>
    </row>
    <row r="14" spans="1:10">
      <c r="A14" s="50">
        <v>45907</v>
      </c>
      <c r="B14" s="51">
        <v>0.43</v>
      </c>
      <c r="C14" t="s">
        <v>151</v>
      </c>
      <c r="D14" t="s">
        <v>160</v>
      </c>
      <c r="E14" t="s">
        <v>47</v>
      </c>
      <c r="F14" t="s">
        <v>163</v>
      </c>
      <c r="G14">
        <v>-46998</v>
      </c>
      <c r="H14" t="s">
        <v>147</v>
      </c>
      <c r="I14" t="s">
        <v>57</v>
      </c>
    </row>
    <row r="15" spans="1:10">
      <c r="A15" s="50">
        <v>45905</v>
      </c>
      <c r="B15" s="51">
        <v>0.2423958333333333</v>
      </c>
      <c r="C15" t="s">
        <v>145</v>
      </c>
      <c r="D15" t="s">
        <v>34</v>
      </c>
      <c r="E15" t="s">
        <v>47</v>
      </c>
      <c r="F15" t="s">
        <v>164</v>
      </c>
      <c r="G15">
        <v>-1500</v>
      </c>
      <c r="H15" t="s">
        <v>147</v>
      </c>
      <c r="I15" t="s">
        <v>165</v>
      </c>
    </row>
    <row r="16" spans="1:10">
      <c r="A16" s="50">
        <v>45905</v>
      </c>
      <c r="B16" s="51">
        <v>0.2423958333333333</v>
      </c>
      <c r="C16" t="s">
        <v>145</v>
      </c>
      <c r="D16" t="s">
        <v>47</v>
      </c>
      <c r="E16" t="s">
        <v>47</v>
      </c>
      <c r="F16" t="s">
        <v>166</v>
      </c>
      <c r="G16">
        <v>-5600</v>
      </c>
      <c r="H16" t="s">
        <v>147</v>
      </c>
      <c r="I16" t="s">
        <v>165</v>
      </c>
    </row>
    <row r="17" spans="1:9">
      <c r="A17" s="50">
        <v>45905</v>
      </c>
      <c r="B17" s="51">
        <v>0.2423958333333333</v>
      </c>
      <c r="C17" t="s">
        <v>145</v>
      </c>
      <c r="D17" t="s">
        <v>34</v>
      </c>
      <c r="E17" t="s">
        <v>47</v>
      </c>
      <c r="F17" t="s">
        <v>167</v>
      </c>
      <c r="G17">
        <v>-3700</v>
      </c>
      <c r="H17" t="s">
        <v>147</v>
      </c>
      <c r="I17" t="s">
        <v>165</v>
      </c>
    </row>
    <row r="18" spans="1:9">
      <c r="A18" s="50">
        <v>45905</v>
      </c>
      <c r="B18" s="51">
        <v>0.2423958333333333</v>
      </c>
      <c r="C18" t="s">
        <v>145</v>
      </c>
      <c r="D18" t="s">
        <v>34</v>
      </c>
      <c r="E18" t="s">
        <v>47</v>
      </c>
      <c r="F18" t="s">
        <v>168</v>
      </c>
      <c r="G18">
        <v>-2150</v>
      </c>
      <c r="H18" t="s">
        <v>147</v>
      </c>
      <c r="I18" t="s">
        <v>165</v>
      </c>
    </row>
    <row r="19" spans="1:9">
      <c r="A19" s="50">
        <v>45905</v>
      </c>
      <c r="B19" s="51">
        <v>0.2423958333333333</v>
      </c>
      <c r="C19" t="s">
        <v>145</v>
      </c>
      <c r="D19" t="s">
        <v>34</v>
      </c>
      <c r="E19" t="s">
        <v>47</v>
      </c>
      <c r="F19" t="s">
        <v>169</v>
      </c>
      <c r="G19">
        <v>-6000</v>
      </c>
      <c r="H19" t="s">
        <v>147</v>
      </c>
      <c r="I19" t="s">
        <v>165</v>
      </c>
    </row>
    <row r="20" spans="1:9">
      <c r="A20" s="50">
        <v>45903</v>
      </c>
      <c r="B20" s="51">
        <v>0.8699305555555555</v>
      </c>
      <c r="C20" t="s">
        <v>145</v>
      </c>
      <c r="D20" t="s">
        <v>42</v>
      </c>
      <c r="E20" t="s">
        <v>47</v>
      </c>
      <c r="F20" t="s">
        <v>170</v>
      </c>
      <c r="G20">
        <v>-3900</v>
      </c>
      <c r="H20" t="s">
        <v>147</v>
      </c>
      <c r="I20" t="s">
        <v>148</v>
      </c>
    </row>
    <row r="21" spans="1:9">
      <c r="A21" s="50">
        <v>45903</v>
      </c>
      <c r="B21" s="51">
        <v>0.8135185185185185</v>
      </c>
      <c r="C21" t="s">
        <v>145</v>
      </c>
      <c r="D21" t="s">
        <v>42</v>
      </c>
      <c r="E21" t="s">
        <v>47</v>
      </c>
      <c r="F21" t="s">
        <v>158</v>
      </c>
      <c r="G21">
        <v>-20000</v>
      </c>
      <c r="H21" t="s">
        <v>147</v>
      </c>
      <c r="I21" t="s">
        <v>57</v>
      </c>
    </row>
    <row r="22" spans="1:9">
      <c r="A22" s="50">
        <v>45903</v>
      </c>
      <c r="B22" s="51">
        <v>0.7848379629629629</v>
      </c>
      <c r="C22" t="s">
        <v>151</v>
      </c>
      <c r="D22" t="s">
        <v>151</v>
      </c>
      <c r="E22" t="s">
        <v>47</v>
      </c>
      <c r="F22" t="s">
        <v>171</v>
      </c>
      <c r="G22">
        <v>-150000</v>
      </c>
      <c r="H22" t="s">
        <v>147</v>
      </c>
      <c r="I22" t="s">
        <v>57</v>
      </c>
    </row>
    <row r="23" spans="1:9">
      <c r="A23" s="50">
        <v>45903</v>
      </c>
      <c r="B23" s="51">
        <v>0.7090046296296296</v>
      </c>
      <c r="C23" t="s">
        <v>145</v>
      </c>
      <c r="D23" t="s">
        <v>44</v>
      </c>
      <c r="E23" t="s">
        <v>47</v>
      </c>
      <c r="F23" t="s">
        <v>172</v>
      </c>
      <c r="G23">
        <v>-1000</v>
      </c>
      <c r="H23" t="s">
        <v>147</v>
      </c>
      <c r="I23" t="s">
        <v>165</v>
      </c>
    </row>
    <row r="24" spans="1:9">
      <c r="A24" s="50">
        <v>45903</v>
      </c>
      <c r="B24" s="51">
        <v>0.5790856481481481</v>
      </c>
      <c r="C24" t="s">
        <v>151</v>
      </c>
      <c r="D24" t="s">
        <v>160</v>
      </c>
      <c r="E24" t="s">
        <v>47</v>
      </c>
      <c r="F24" t="s">
        <v>7</v>
      </c>
      <c r="G24">
        <v>1000000</v>
      </c>
      <c r="H24" t="s">
        <v>147</v>
      </c>
      <c r="I24" t="s">
        <v>57</v>
      </c>
    </row>
    <row r="25" spans="1:9">
      <c r="A25" s="50">
        <v>45903</v>
      </c>
      <c r="B25" s="51">
        <v>0.5790856481481481</v>
      </c>
      <c r="C25" t="s">
        <v>151</v>
      </c>
      <c r="D25" t="s">
        <v>160</v>
      </c>
      <c r="E25" t="s">
        <v>47</v>
      </c>
      <c r="F25" t="s">
        <v>7</v>
      </c>
      <c r="G25">
        <v>-1000000</v>
      </c>
      <c r="H25" t="s">
        <v>147</v>
      </c>
      <c r="I25" t="s">
        <v>61</v>
      </c>
    </row>
    <row r="26" spans="1:9">
      <c r="A26" s="50">
        <v>45903</v>
      </c>
      <c r="B26" s="51">
        <v>0.5743402777777777</v>
      </c>
      <c r="C26" t="s">
        <v>145</v>
      </c>
      <c r="D26" t="s">
        <v>45</v>
      </c>
      <c r="E26" t="s">
        <v>47</v>
      </c>
      <c r="F26" t="s">
        <v>173</v>
      </c>
      <c r="G26">
        <v>-24000</v>
      </c>
      <c r="H26" t="s">
        <v>147</v>
      </c>
      <c r="I26" t="s">
        <v>148</v>
      </c>
    </row>
    <row r="27" spans="1:9">
      <c r="A27" s="50">
        <v>45903</v>
      </c>
      <c r="B27" s="51">
        <v>0.5739930555555556</v>
      </c>
      <c r="C27" t="s">
        <v>145</v>
      </c>
      <c r="D27" t="s">
        <v>45</v>
      </c>
      <c r="E27" t="s">
        <v>47</v>
      </c>
      <c r="F27" t="s">
        <v>173</v>
      </c>
      <c r="G27">
        <v>-23700</v>
      </c>
      <c r="H27" t="s">
        <v>147</v>
      </c>
      <c r="I27" t="s">
        <v>148</v>
      </c>
    </row>
    <row r="28" spans="1:9">
      <c r="A28" s="50">
        <v>45903</v>
      </c>
      <c r="B28" s="51">
        <v>0.5732175925925926</v>
      </c>
      <c r="C28" t="s">
        <v>145</v>
      </c>
      <c r="D28" t="s">
        <v>45</v>
      </c>
      <c r="E28" t="s">
        <v>47</v>
      </c>
      <c r="F28" t="s">
        <v>173</v>
      </c>
      <c r="G28">
        <v>-33500</v>
      </c>
      <c r="H28" t="s">
        <v>147</v>
      </c>
      <c r="I28" t="s">
        <v>148</v>
      </c>
    </row>
    <row r="29" spans="1:9">
      <c r="A29" s="50">
        <v>45903</v>
      </c>
      <c r="B29" s="51">
        <v>0.5426157407407407</v>
      </c>
      <c r="C29" t="s">
        <v>145</v>
      </c>
      <c r="D29" t="s">
        <v>34</v>
      </c>
      <c r="E29" t="s">
        <v>47</v>
      </c>
      <c r="F29" t="s">
        <v>146</v>
      </c>
      <c r="G29">
        <v>-2150</v>
      </c>
      <c r="H29" t="s">
        <v>147</v>
      </c>
      <c r="I29" t="s">
        <v>148</v>
      </c>
    </row>
    <row r="30" spans="1:9">
      <c r="A30" s="50">
        <v>45903</v>
      </c>
      <c r="B30" s="51">
        <v>0.5421296296296296</v>
      </c>
      <c r="C30" t="s">
        <v>145</v>
      </c>
      <c r="D30" t="s">
        <v>47</v>
      </c>
      <c r="E30" t="s">
        <v>47</v>
      </c>
      <c r="F30" t="s">
        <v>174</v>
      </c>
      <c r="G30">
        <v>-2000</v>
      </c>
      <c r="H30" t="s">
        <v>147</v>
      </c>
      <c r="I30" t="s">
        <v>165</v>
      </c>
    </row>
    <row r="31" spans="1:9">
      <c r="A31" s="50">
        <v>45902</v>
      </c>
      <c r="B31" s="51">
        <v>0.6096643518518519</v>
      </c>
      <c r="C31" t="s">
        <v>145</v>
      </c>
      <c r="D31" t="s">
        <v>38</v>
      </c>
      <c r="E31" t="s">
        <v>47</v>
      </c>
      <c r="F31" t="s">
        <v>155</v>
      </c>
      <c r="G31">
        <v>-8950</v>
      </c>
      <c r="H31" t="s">
        <v>147</v>
      </c>
      <c r="I31" t="s">
        <v>148</v>
      </c>
    </row>
    <row r="32" spans="1:9">
      <c r="A32" s="50">
        <v>45902</v>
      </c>
      <c r="B32" s="51">
        <v>0.463587962962963</v>
      </c>
      <c r="C32" t="s">
        <v>145</v>
      </c>
      <c r="D32" t="s">
        <v>45</v>
      </c>
      <c r="E32" t="s">
        <v>47</v>
      </c>
      <c r="F32" t="s">
        <v>175</v>
      </c>
      <c r="G32">
        <v>-36000</v>
      </c>
      <c r="H32" t="s">
        <v>147</v>
      </c>
      <c r="I32" t="s">
        <v>165</v>
      </c>
    </row>
    <row r="33" spans="1:9">
      <c r="A33" s="50">
        <v>45902</v>
      </c>
      <c r="B33" s="51">
        <v>0.4570023148148148</v>
      </c>
      <c r="C33" t="s">
        <v>145</v>
      </c>
      <c r="D33" t="s">
        <v>45</v>
      </c>
      <c r="E33" t="s">
        <v>47</v>
      </c>
      <c r="F33" t="s">
        <v>176</v>
      </c>
      <c r="G33">
        <v>-6500</v>
      </c>
      <c r="H33" t="s">
        <v>147</v>
      </c>
      <c r="I33" t="s">
        <v>165</v>
      </c>
    </row>
    <row r="34" spans="1:9">
      <c r="A34" s="50">
        <v>45902</v>
      </c>
      <c r="B34" s="51">
        <v>0.4520601851851852</v>
      </c>
      <c r="C34" t="s">
        <v>145</v>
      </c>
      <c r="D34" t="s">
        <v>32</v>
      </c>
      <c r="E34" t="s">
        <v>47</v>
      </c>
      <c r="F34" t="s">
        <v>177</v>
      </c>
      <c r="G34">
        <v>-9000</v>
      </c>
      <c r="H34" t="s">
        <v>147</v>
      </c>
      <c r="I34" t="s">
        <v>165</v>
      </c>
    </row>
    <row r="35" spans="1:9">
      <c r="A35" s="50">
        <v>45902</v>
      </c>
      <c r="B35" s="51">
        <v>0.4202893518518518</v>
      </c>
      <c r="C35" t="s">
        <v>145</v>
      </c>
      <c r="D35" t="s">
        <v>40</v>
      </c>
      <c r="E35" t="s">
        <v>47</v>
      </c>
      <c r="F35" t="s">
        <v>178</v>
      </c>
      <c r="G35">
        <v>-27000</v>
      </c>
      <c r="H35" t="s">
        <v>147</v>
      </c>
      <c r="I35" t="s">
        <v>165</v>
      </c>
    </row>
    <row r="36" spans="1:9">
      <c r="A36" s="50">
        <v>45901</v>
      </c>
      <c r="B36" s="51">
        <v>0.801238425925926</v>
      </c>
      <c r="C36" t="s">
        <v>145</v>
      </c>
      <c r="D36" t="s">
        <v>45</v>
      </c>
      <c r="E36" t="s">
        <v>47</v>
      </c>
      <c r="F36" t="s">
        <v>179</v>
      </c>
      <c r="G36">
        <v>-21500</v>
      </c>
      <c r="H36" t="s">
        <v>147</v>
      </c>
      <c r="I36" t="s">
        <v>165</v>
      </c>
    </row>
    <row r="37" spans="1:9">
      <c r="A37" s="50">
        <v>45901</v>
      </c>
      <c r="B37" s="51">
        <v>0.7729398148148148</v>
      </c>
      <c r="C37" t="s">
        <v>145</v>
      </c>
      <c r="D37" t="s">
        <v>40</v>
      </c>
      <c r="E37" t="s">
        <v>47</v>
      </c>
      <c r="F37" t="s">
        <v>180</v>
      </c>
      <c r="G37">
        <v>-1000</v>
      </c>
      <c r="H37" t="s">
        <v>147</v>
      </c>
      <c r="I37" t="s">
        <v>165</v>
      </c>
    </row>
    <row r="38" spans="1:9">
      <c r="A38" s="50">
        <v>45901</v>
      </c>
      <c r="B38" s="51">
        <v>0.5596180555555555</v>
      </c>
      <c r="C38" t="s">
        <v>145</v>
      </c>
      <c r="D38" t="s">
        <v>41</v>
      </c>
      <c r="E38" t="s">
        <v>47</v>
      </c>
      <c r="F38" t="s">
        <v>181</v>
      </c>
      <c r="G38">
        <v>-22500</v>
      </c>
      <c r="H38" t="s">
        <v>147</v>
      </c>
      <c r="I38" t="s">
        <v>165</v>
      </c>
    </row>
    <row r="39" spans="1:9">
      <c r="A39" s="50">
        <v>45901</v>
      </c>
      <c r="B39" s="51">
        <v>0.5198842592592593</v>
      </c>
      <c r="C39" t="s">
        <v>145</v>
      </c>
      <c r="D39" t="s">
        <v>38</v>
      </c>
      <c r="E39" t="s">
        <v>47</v>
      </c>
      <c r="F39" t="s">
        <v>182</v>
      </c>
      <c r="G39">
        <v>-3200</v>
      </c>
      <c r="H39" t="s">
        <v>147</v>
      </c>
      <c r="I39" t="s">
        <v>165</v>
      </c>
    </row>
    <row r="40" spans="1:9">
      <c r="A40" s="50">
        <v>45901</v>
      </c>
      <c r="B40" s="51">
        <v>0.5158449074074074</v>
      </c>
      <c r="C40" t="s">
        <v>145</v>
      </c>
      <c r="D40" t="s">
        <v>45</v>
      </c>
      <c r="E40" t="s">
        <v>47</v>
      </c>
      <c r="F40" t="s">
        <v>183</v>
      </c>
      <c r="G40">
        <v>-12000</v>
      </c>
      <c r="H40" t="s">
        <v>147</v>
      </c>
      <c r="I40" t="s">
        <v>165</v>
      </c>
    </row>
    <row r="41" spans="1:9">
      <c r="A41" s="50">
        <v>45901</v>
      </c>
      <c r="B41" s="51">
        <v>0.5146064814814815</v>
      </c>
      <c r="C41" t="s">
        <v>145</v>
      </c>
      <c r="D41" t="s">
        <v>45</v>
      </c>
      <c r="E41" t="s">
        <v>47</v>
      </c>
      <c r="F41" t="s">
        <v>184</v>
      </c>
      <c r="G41">
        <v>-73000</v>
      </c>
      <c r="H41" t="s">
        <v>147</v>
      </c>
      <c r="I41" t="s">
        <v>165</v>
      </c>
    </row>
    <row r="42" spans="1:9">
      <c r="A42" s="50">
        <v>45901</v>
      </c>
      <c r="B42" s="51">
        <v>0.4685532407407407</v>
      </c>
      <c r="C42" t="s">
        <v>151</v>
      </c>
      <c r="D42" t="s">
        <v>160</v>
      </c>
      <c r="E42" t="s">
        <v>47</v>
      </c>
      <c r="F42" t="s">
        <v>7</v>
      </c>
      <c r="G42">
        <v>-200000</v>
      </c>
      <c r="H42" t="s">
        <v>147</v>
      </c>
      <c r="I42" t="s">
        <v>57</v>
      </c>
    </row>
    <row r="43" spans="1:9">
      <c r="A43" s="50">
        <v>45901</v>
      </c>
      <c r="B43" s="51">
        <v>0.4664699074074074</v>
      </c>
      <c r="C43" t="s">
        <v>145</v>
      </c>
      <c r="D43" t="s">
        <v>40</v>
      </c>
      <c r="E43" t="s">
        <v>47</v>
      </c>
      <c r="F43" t="s">
        <v>185</v>
      </c>
      <c r="G43">
        <v>-57000</v>
      </c>
      <c r="H43" t="s">
        <v>147</v>
      </c>
      <c r="I43" t="s">
        <v>165</v>
      </c>
    </row>
    <row r="44" spans="1:9">
      <c r="A44" s="50">
        <v>45900</v>
      </c>
      <c r="B44" s="51">
        <v>0.7867708333333333</v>
      </c>
      <c r="C44" t="s">
        <v>145</v>
      </c>
      <c r="D44" t="s">
        <v>42</v>
      </c>
      <c r="E44" t="s">
        <v>47</v>
      </c>
      <c r="F44" t="s">
        <v>186</v>
      </c>
      <c r="G44">
        <v>-17000</v>
      </c>
      <c r="H44" t="s">
        <v>147</v>
      </c>
      <c r="I44" t="s">
        <v>165</v>
      </c>
    </row>
    <row r="45" spans="1:9">
      <c r="A45" s="50">
        <v>45900</v>
      </c>
      <c r="B45" s="51">
        <v>0.7547916666666666</v>
      </c>
      <c r="C45" t="s">
        <v>145</v>
      </c>
      <c r="D45" t="s">
        <v>40</v>
      </c>
      <c r="E45" t="s">
        <v>47</v>
      </c>
      <c r="F45" t="s">
        <v>187</v>
      </c>
      <c r="G45">
        <v>-106000</v>
      </c>
      <c r="H45" t="s">
        <v>147</v>
      </c>
      <c r="I45" t="s">
        <v>165</v>
      </c>
    </row>
    <row r="46" spans="1:9">
      <c r="A46" s="50">
        <v>45900</v>
      </c>
      <c r="B46" s="51">
        <v>0.5767245370370371</v>
      </c>
      <c r="C46" t="s">
        <v>145</v>
      </c>
      <c r="D46" t="s">
        <v>36</v>
      </c>
      <c r="E46" t="s">
        <v>47</v>
      </c>
      <c r="F46" t="s">
        <v>188</v>
      </c>
      <c r="G46">
        <v>-3000</v>
      </c>
      <c r="H46" t="s">
        <v>147</v>
      </c>
      <c r="I46" t="s">
        <v>165</v>
      </c>
    </row>
    <row r="47" spans="1:9">
      <c r="A47" s="50">
        <v>45900</v>
      </c>
      <c r="B47" s="51">
        <v>0.5574074074074075</v>
      </c>
      <c r="C47" t="s">
        <v>145</v>
      </c>
      <c r="D47" t="s">
        <v>36</v>
      </c>
      <c r="E47" t="s">
        <v>47</v>
      </c>
      <c r="F47" t="s">
        <v>188</v>
      </c>
      <c r="G47">
        <v>-30000</v>
      </c>
      <c r="H47" t="s">
        <v>147</v>
      </c>
      <c r="I47" t="s">
        <v>165</v>
      </c>
    </row>
    <row r="48" spans="1:9">
      <c r="A48" s="50">
        <v>45900</v>
      </c>
      <c r="B48" s="51">
        <v>0.5243402777777778</v>
      </c>
      <c r="C48" t="s">
        <v>145</v>
      </c>
      <c r="D48" t="s">
        <v>40</v>
      </c>
      <c r="E48" t="s">
        <v>47</v>
      </c>
      <c r="F48" t="s">
        <v>189</v>
      </c>
      <c r="G48">
        <v>-28000</v>
      </c>
      <c r="H48" t="s">
        <v>147</v>
      </c>
      <c r="I48" t="s">
        <v>165</v>
      </c>
    </row>
    <row r="49" spans="1:9">
      <c r="A49" s="50">
        <v>45900</v>
      </c>
      <c r="B49" s="51">
        <v>0.5094560185185185</v>
      </c>
      <c r="C49" t="s">
        <v>145</v>
      </c>
      <c r="D49" t="s">
        <v>46</v>
      </c>
      <c r="E49" t="s">
        <v>47</v>
      </c>
      <c r="F49" t="s">
        <v>190</v>
      </c>
      <c r="G49">
        <v>-27000</v>
      </c>
      <c r="H49" t="s">
        <v>147</v>
      </c>
      <c r="I49" t="s">
        <v>165</v>
      </c>
    </row>
    <row r="50" spans="1:9">
      <c r="A50" s="50">
        <v>45900</v>
      </c>
      <c r="B50" s="51">
        <v>0.4690162037037037</v>
      </c>
      <c r="C50" t="s">
        <v>145</v>
      </c>
      <c r="D50" t="s">
        <v>34</v>
      </c>
      <c r="E50" t="s">
        <v>47</v>
      </c>
      <c r="F50" t="s">
        <v>146</v>
      </c>
      <c r="G50">
        <v>-2150</v>
      </c>
      <c r="H50" t="s">
        <v>147</v>
      </c>
      <c r="I50" t="s">
        <v>148</v>
      </c>
    </row>
    <row r="51" spans="1:9">
      <c r="A51" s="50">
        <v>45899</v>
      </c>
      <c r="B51" s="51">
        <v>0.9304976851851852</v>
      </c>
      <c r="C51" t="s">
        <v>145</v>
      </c>
      <c r="D51" t="s">
        <v>38</v>
      </c>
      <c r="E51" t="s">
        <v>47</v>
      </c>
      <c r="F51" t="s">
        <v>191</v>
      </c>
      <c r="G51">
        <v>-6400</v>
      </c>
      <c r="H51" t="s">
        <v>147</v>
      </c>
      <c r="I51" t="s">
        <v>165</v>
      </c>
    </row>
    <row r="52" spans="1:9">
      <c r="A52" s="50">
        <v>45899</v>
      </c>
      <c r="B52" s="51">
        <v>0.8287268518518518</v>
      </c>
      <c r="C52" t="s">
        <v>145</v>
      </c>
      <c r="D52" t="s">
        <v>36</v>
      </c>
      <c r="E52" t="s">
        <v>47</v>
      </c>
      <c r="F52" t="s">
        <v>192</v>
      </c>
      <c r="G52">
        <v>-59000</v>
      </c>
      <c r="H52" t="s">
        <v>147</v>
      </c>
      <c r="I52" t="s">
        <v>165</v>
      </c>
    </row>
    <row r="53" spans="1:9">
      <c r="A53" s="50">
        <v>45899</v>
      </c>
      <c r="B53" s="51">
        <v>0.7863888888888889</v>
      </c>
      <c r="C53" t="s">
        <v>145</v>
      </c>
      <c r="D53" t="s">
        <v>40</v>
      </c>
      <c r="E53" t="s">
        <v>47</v>
      </c>
      <c r="F53" t="s">
        <v>193</v>
      </c>
      <c r="G53">
        <v>-8000</v>
      </c>
      <c r="H53" t="s">
        <v>147</v>
      </c>
      <c r="I53" t="s">
        <v>165</v>
      </c>
    </row>
    <row r="54" spans="1:9">
      <c r="A54" s="50">
        <v>45899</v>
      </c>
      <c r="B54" s="51">
        <v>0.7707291666666667</v>
      </c>
      <c r="C54" t="s">
        <v>145</v>
      </c>
      <c r="D54" t="s">
        <v>40</v>
      </c>
      <c r="E54" t="s">
        <v>47</v>
      </c>
      <c r="F54" t="s">
        <v>194</v>
      </c>
      <c r="G54">
        <v>-10000</v>
      </c>
      <c r="H54" t="s">
        <v>147</v>
      </c>
      <c r="I54" t="s">
        <v>165</v>
      </c>
    </row>
    <row r="55" spans="1:9">
      <c r="A55" s="50">
        <v>45899</v>
      </c>
      <c r="B55" s="51">
        <v>0.716099537037037</v>
      </c>
      <c r="C55" t="s">
        <v>145</v>
      </c>
      <c r="D55" t="s">
        <v>34</v>
      </c>
      <c r="E55" t="s">
        <v>47</v>
      </c>
      <c r="F55" t="s">
        <v>146</v>
      </c>
      <c r="G55">
        <v>-1850</v>
      </c>
      <c r="H55" t="s">
        <v>147</v>
      </c>
      <c r="I55" t="s">
        <v>148</v>
      </c>
    </row>
    <row r="56" spans="1:9">
      <c r="A56" s="50">
        <v>45899</v>
      </c>
      <c r="B56" s="51">
        <v>0.5975347222222223</v>
      </c>
      <c r="C56" t="s">
        <v>145</v>
      </c>
      <c r="D56" t="s">
        <v>42</v>
      </c>
      <c r="E56" t="s">
        <v>47</v>
      </c>
      <c r="F56" t="s">
        <v>158</v>
      </c>
      <c r="G56">
        <v>-50000</v>
      </c>
      <c r="H56" t="s">
        <v>147</v>
      </c>
      <c r="I56" t="s">
        <v>57</v>
      </c>
    </row>
    <row r="57" spans="1:9">
      <c r="A57" s="50">
        <v>45899</v>
      </c>
      <c r="B57" s="51">
        <v>0.5644675925925926</v>
      </c>
      <c r="C57" t="s">
        <v>145</v>
      </c>
      <c r="D57" t="s">
        <v>45</v>
      </c>
      <c r="E57" t="s">
        <v>47</v>
      </c>
      <c r="F57" t="s">
        <v>195</v>
      </c>
      <c r="G57">
        <v>-11600</v>
      </c>
      <c r="H57" t="s">
        <v>147</v>
      </c>
      <c r="I57" t="s">
        <v>148</v>
      </c>
    </row>
    <row r="58" spans="1:9">
      <c r="A58" s="50">
        <v>45899</v>
      </c>
      <c r="B58" s="51">
        <v>0.5382523148148148</v>
      </c>
      <c r="C58" t="s">
        <v>145</v>
      </c>
      <c r="D58" t="s">
        <v>40</v>
      </c>
      <c r="E58" t="s">
        <v>47</v>
      </c>
      <c r="F58" t="s">
        <v>196</v>
      </c>
      <c r="G58">
        <v>-20400</v>
      </c>
      <c r="H58" t="s">
        <v>147</v>
      </c>
      <c r="I58" t="s">
        <v>148</v>
      </c>
    </row>
    <row r="59" spans="1:9">
      <c r="A59" s="50">
        <v>45899</v>
      </c>
      <c r="B59" s="51">
        <v>0.363287037037037</v>
      </c>
      <c r="C59" t="s">
        <v>145</v>
      </c>
      <c r="D59" t="s">
        <v>35</v>
      </c>
      <c r="E59" t="s">
        <v>47</v>
      </c>
      <c r="F59" t="s">
        <v>197</v>
      </c>
      <c r="G59">
        <v>-100000</v>
      </c>
      <c r="H59" t="s">
        <v>147</v>
      </c>
      <c r="I59" t="s">
        <v>162</v>
      </c>
    </row>
    <row r="60" spans="1:9">
      <c r="A60" s="50">
        <v>45899</v>
      </c>
      <c r="B60" s="51">
        <v>0.363275462962963</v>
      </c>
      <c r="C60" t="s">
        <v>151</v>
      </c>
      <c r="D60" t="s">
        <v>160</v>
      </c>
      <c r="E60" t="s">
        <v>47</v>
      </c>
      <c r="F60" t="s">
        <v>161</v>
      </c>
      <c r="G60">
        <v>94484</v>
      </c>
      <c r="H60" t="s">
        <v>147</v>
      </c>
      <c r="I60" t="s">
        <v>162</v>
      </c>
    </row>
    <row r="61" spans="1:9">
      <c r="A61" s="50">
        <v>45899</v>
      </c>
      <c r="B61" s="51">
        <v>0.363275462962963</v>
      </c>
      <c r="C61" t="s">
        <v>151</v>
      </c>
      <c r="D61" t="s">
        <v>160</v>
      </c>
      <c r="E61" t="s">
        <v>47</v>
      </c>
      <c r="F61" t="s">
        <v>163</v>
      </c>
      <c r="G61">
        <v>-94484</v>
      </c>
      <c r="H61" t="s">
        <v>147</v>
      </c>
      <c r="I61" t="s">
        <v>57</v>
      </c>
    </row>
    <row r="62" spans="1:9">
      <c r="A62" s="50">
        <v>45899</v>
      </c>
      <c r="B62" s="51">
        <v>0.2979861111111111</v>
      </c>
      <c r="C62" t="s">
        <v>145</v>
      </c>
      <c r="D62" t="s">
        <v>34</v>
      </c>
      <c r="E62" t="s">
        <v>47</v>
      </c>
      <c r="F62" t="s">
        <v>146</v>
      </c>
      <c r="G62">
        <v>-1850</v>
      </c>
      <c r="H62" t="s">
        <v>147</v>
      </c>
      <c r="I62" t="s">
        <v>148</v>
      </c>
    </row>
    <row r="63" spans="1:9">
      <c r="A63" s="50">
        <v>45899</v>
      </c>
      <c r="B63" s="51">
        <v>0.004560185185185185</v>
      </c>
      <c r="C63" t="s">
        <v>151</v>
      </c>
      <c r="D63" t="s">
        <v>198</v>
      </c>
      <c r="E63" t="s">
        <v>47</v>
      </c>
      <c r="F63" t="s">
        <v>199</v>
      </c>
      <c r="G63">
        <v>200000</v>
      </c>
      <c r="H63" t="s">
        <v>147</v>
      </c>
      <c r="I63" t="s">
        <v>57</v>
      </c>
    </row>
    <row r="64" spans="1:9">
      <c r="A64" s="50">
        <v>45898</v>
      </c>
      <c r="B64" s="51">
        <v>0.8917824074074074</v>
      </c>
      <c r="C64" t="s">
        <v>145</v>
      </c>
      <c r="D64" t="s">
        <v>45</v>
      </c>
      <c r="E64" t="s">
        <v>47</v>
      </c>
      <c r="F64" t="s">
        <v>200</v>
      </c>
      <c r="G64">
        <v>-1200</v>
      </c>
      <c r="H64" t="s">
        <v>147</v>
      </c>
      <c r="I64" t="s">
        <v>148</v>
      </c>
    </row>
    <row r="65" spans="1:9">
      <c r="A65" s="50">
        <v>45898</v>
      </c>
      <c r="B65" s="51">
        <v>0.7363541666666666</v>
      </c>
      <c r="C65" t="s">
        <v>145</v>
      </c>
      <c r="D65" t="s">
        <v>34</v>
      </c>
      <c r="E65" t="s">
        <v>47</v>
      </c>
      <c r="F65" t="s">
        <v>146</v>
      </c>
      <c r="G65">
        <v>-1850</v>
      </c>
      <c r="H65" t="s">
        <v>147</v>
      </c>
      <c r="I65" t="s">
        <v>148</v>
      </c>
    </row>
    <row r="66" spans="1:9">
      <c r="A66" s="50">
        <v>45898</v>
      </c>
      <c r="B66" s="51">
        <v>0.2918171296296296</v>
      </c>
      <c r="C66" t="s">
        <v>145</v>
      </c>
      <c r="D66" t="s">
        <v>34</v>
      </c>
      <c r="E66" t="s">
        <v>47</v>
      </c>
      <c r="F66" t="s">
        <v>146</v>
      </c>
      <c r="G66">
        <v>-1850</v>
      </c>
      <c r="H66" t="s">
        <v>147</v>
      </c>
      <c r="I66" t="s">
        <v>148</v>
      </c>
    </row>
    <row r="67" spans="1:9">
      <c r="A67" s="50">
        <v>45897</v>
      </c>
      <c r="B67" s="51">
        <v>0.735474537037037</v>
      </c>
      <c r="C67" t="s">
        <v>145</v>
      </c>
      <c r="D67" t="s">
        <v>34</v>
      </c>
      <c r="E67" t="s">
        <v>47</v>
      </c>
      <c r="F67" t="s">
        <v>146</v>
      </c>
      <c r="G67">
        <v>-1850</v>
      </c>
      <c r="H67" t="s">
        <v>147</v>
      </c>
      <c r="I67" t="s">
        <v>148</v>
      </c>
    </row>
    <row r="68" spans="1:9">
      <c r="A68" s="50">
        <v>45897</v>
      </c>
      <c r="B68" s="51">
        <v>0.2877430555555556</v>
      </c>
      <c r="C68" t="s">
        <v>145</v>
      </c>
      <c r="D68" t="s">
        <v>34</v>
      </c>
      <c r="E68" t="s">
        <v>47</v>
      </c>
      <c r="F68" t="s">
        <v>146</v>
      </c>
      <c r="G68">
        <v>-1850</v>
      </c>
      <c r="H68" t="s">
        <v>147</v>
      </c>
      <c r="I68" t="s">
        <v>148</v>
      </c>
    </row>
    <row r="69" spans="1:9">
      <c r="A69" s="50">
        <v>45896</v>
      </c>
      <c r="B69" s="51">
        <v>0.785162037037037</v>
      </c>
      <c r="C69" t="s">
        <v>145</v>
      </c>
      <c r="D69" t="s">
        <v>38</v>
      </c>
      <c r="E69" t="s">
        <v>47</v>
      </c>
      <c r="F69" t="s">
        <v>201</v>
      </c>
      <c r="G69">
        <v>-5700</v>
      </c>
      <c r="H69" t="s">
        <v>147</v>
      </c>
      <c r="I69" t="s">
        <v>148</v>
      </c>
    </row>
    <row r="70" spans="1:9">
      <c r="A70" s="50">
        <v>45895</v>
      </c>
      <c r="B70" s="51">
        <v>0.7653356481481481</v>
      </c>
      <c r="C70" t="s">
        <v>145</v>
      </c>
      <c r="D70" t="s">
        <v>35</v>
      </c>
      <c r="E70" t="s">
        <v>47</v>
      </c>
      <c r="F70" t="s">
        <v>202</v>
      </c>
      <c r="G70">
        <v>-10000</v>
      </c>
      <c r="H70" t="s">
        <v>147</v>
      </c>
      <c r="I70" t="s">
        <v>57</v>
      </c>
    </row>
    <row r="71" spans="1:9">
      <c r="A71" s="50">
        <v>45895</v>
      </c>
      <c r="B71" s="51">
        <v>0.7223726851851852</v>
      </c>
      <c r="C71" t="s">
        <v>145</v>
      </c>
      <c r="D71" t="s">
        <v>38</v>
      </c>
      <c r="E71" t="s">
        <v>47</v>
      </c>
      <c r="F71" t="s">
        <v>203</v>
      </c>
      <c r="G71">
        <v>-2980</v>
      </c>
      <c r="H71" t="s">
        <v>147</v>
      </c>
      <c r="I71" t="s">
        <v>165</v>
      </c>
    </row>
    <row r="72" spans="1:9">
      <c r="A72" s="50">
        <v>45895</v>
      </c>
      <c r="B72" s="51">
        <v>0.4178125</v>
      </c>
      <c r="C72" t="s">
        <v>151</v>
      </c>
      <c r="D72" t="s">
        <v>160</v>
      </c>
      <c r="E72" t="s">
        <v>47</v>
      </c>
      <c r="F72" t="s">
        <v>7</v>
      </c>
      <c r="G72">
        <v>600000</v>
      </c>
      <c r="H72" t="s">
        <v>147</v>
      </c>
      <c r="I72" t="s">
        <v>57</v>
      </c>
    </row>
    <row r="73" spans="1:9">
      <c r="A73" s="50">
        <v>45895</v>
      </c>
      <c r="B73" s="51">
        <v>0.4178125</v>
      </c>
      <c r="C73" t="s">
        <v>151</v>
      </c>
      <c r="D73" t="s">
        <v>160</v>
      </c>
      <c r="E73" t="s">
        <v>47</v>
      </c>
      <c r="F73" t="s">
        <v>7</v>
      </c>
      <c r="G73">
        <v>-600000</v>
      </c>
      <c r="H73" t="s">
        <v>147</v>
      </c>
      <c r="I73" t="s">
        <v>61</v>
      </c>
    </row>
    <row r="74" spans="1:9">
      <c r="A74" s="50">
        <v>45895</v>
      </c>
      <c r="B74" s="51">
        <v>0.2870254629629629</v>
      </c>
      <c r="C74" t="s">
        <v>145</v>
      </c>
      <c r="D74" t="s">
        <v>34</v>
      </c>
      <c r="E74" t="s">
        <v>47</v>
      </c>
      <c r="F74" t="s">
        <v>146</v>
      </c>
      <c r="G74">
        <v>-1850</v>
      </c>
      <c r="H74" t="s">
        <v>147</v>
      </c>
      <c r="I74" t="s">
        <v>148</v>
      </c>
    </row>
    <row r="75" spans="1:9">
      <c r="A75" s="50">
        <v>45895</v>
      </c>
      <c r="B75" s="51">
        <v>0.03835648148148148</v>
      </c>
      <c r="C75" t="s">
        <v>151</v>
      </c>
      <c r="D75" t="s">
        <v>160</v>
      </c>
      <c r="E75" t="s">
        <v>47</v>
      </c>
      <c r="F75" t="s">
        <v>7</v>
      </c>
      <c r="G75">
        <v>1000000</v>
      </c>
      <c r="H75" t="s">
        <v>147</v>
      </c>
      <c r="I75" t="s">
        <v>61</v>
      </c>
    </row>
    <row r="76" spans="1:9">
      <c r="A76" s="50">
        <v>45895</v>
      </c>
      <c r="B76" s="51">
        <v>0.03835648148148148</v>
      </c>
      <c r="C76" t="s">
        <v>151</v>
      </c>
      <c r="D76" t="s">
        <v>160</v>
      </c>
      <c r="E76" t="s">
        <v>47</v>
      </c>
      <c r="F76" t="s">
        <v>7</v>
      </c>
      <c r="G76">
        <v>-1000000</v>
      </c>
      <c r="H76" t="s">
        <v>147</v>
      </c>
      <c r="I76" t="s">
        <v>57</v>
      </c>
    </row>
    <row r="77" spans="1:9">
      <c r="A77" s="50">
        <v>45894</v>
      </c>
      <c r="B77" s="51">
        <v>0.8161921296296296</v>
      </c>
      <c r="C77" t="s">
        <v>145</v>
      </c>
      <c r="D77" t="s">
        <v>35</v>
      </c>
      <c r="E77" t="s">
        <v>204</v>
      </c>
      <c r="F77" t="s">
        <v>205</v>
      </c>
      <c r="G77">
        <v>-99360</v>
      </c>
      <c r="H77" t="s">
        <v>147</v>
      </c>
      <c r="I77" t="s">
        <v>57</v>
      </c>
    </row>
    <row r="78" spans="1:9">
      <c r="A78" s="50">
        <v>45894</v>
      </c>
      <c r="B78" s="51">
        <v>0.8161921296296296</v>
      </c>
      <c r="C78" t="s">
        <v>145</v>
      </c>
      <c r="D78" t="s">
        <v>35</v>
      </c>
      <c r="E78" t="s">
        <v>204</v>
      </c>
      <c r="F78" t="s">
        <v>206</v>
      </c>
      <c r="G78">
        <v>-32200</v>
      </c>
      <c r="H78" t="s">
        <v>147</v>
      </c>
      <c r="I78" t="s">
        <v>57</v>
      </c>
    </row>
    <row r="79" spans="1:9">
      <c r="A79" s="50">
        <v>45894</v>
      </c>
      <c r="B79" s="51">
        <v>0.8161805555555556</v>
      </c>
      <c r="C79" t="s">
        <v>145</v>
      </c>
      <c r="D79" t="s">
        <v>35</v>
      </c>
      <c r="E79" t="s">
        <v>207</v>
      </c>
      <c r="F79" t="s">
        <v>208</v>
      </c>
      <c r="G79">
        <v>-2930</v>
      </c>
      <c r="H79" t="s">
        <v>147</v>
      </c>
      <c r="I79" t="s">
        <v>57</v>
      </c>
    </row>
    <row r="80" spans="1:9">
      <c r="A80" s="50">
        <v>45894</v>
      </c>
      <c r="B80" s="51">
        <v>0.8102430555555555</v>
      </c>
      <c r="C80" t="s">
        <v>145</v>
      </c>
      <c r="D80" t="s">
        <v>38</v>
      </c>
      <c r="E80" t="s">
        <v>47</v>
      </c>
      <c r="F80" t="s">
        <v>209</v>
      </c>
      <c r="G80">
        <v>-4700</v>
      </c>
      <c r="H80" t="s">
        <v>147</v>
      </c>
      <c r="I80" t="s">
        <v>165</v>
      </c>
    </row>
    <row r="81" spans="1:9">
      <c r="A81" s="50">
        <v>45894</v>
      </c>
      <c r="B81" s="51">
        <v>0.8056018518518518</v>
      </c>
      <c r="C81" t="s">
        <v>145</v>
      </c>
      <c r="D81" t="s">
        <v>40</v>
      </c>
      <c r="E81" t="s">
        <v>47</v>
      </c>
      <c r="F81" t="s">
        <v>210</v>
      </c>
      <c r="G81">
        <v>-222000</v>
      </c>
      <c r="H81" t="s">
        <v>147</v>
      </c>
      <c r="I81" t="s">
        <v>165</v>
      </c>
    </row>
    <row r="82" spans="1:9">
      <c r="A82" s="50">
        <v>45894</v>
      </c>
      <c r="B82" s="51">
        <v>0.7856944444444445</v>
      </c>
      <c r="C82" t="s">
        <v>151</v>
      </c>
      <c r="D82" t="s">
        <v>198</v>
      </c>
      <c r="E82" t="s">
        <v>47</v>
      </c>
      <c r="F82" t="s">
        <v>211</v>
      </c>
      <c r="G82">
        <v>-50000</v>
      </c>
      <c r="H82" t="s">
        <v>147</v>
      </c>
      <c r="I82" t="s">
        <v>57</v>
      </c>
    </row>
    <row r="83" spans="1:9">
      <c r="A83" s="50">
        <v>45894</v>
      </c>
      <c r="B83" s="51">
        <v>0.7803009259259259</v>
      </c>
      <c r="C83" t="s">
        <v>145</v>
      </c>
      <c r="D83" t="s">
        <v>42</v>
      </c>
      <c r="E83" t="s">
        <v>47</v>
      </c>
      <c r="F83" t="s">
        <v>212</v>
      </c>
      <c r="G83">
        <v>-45000</v>
      </c>
      <c r="H83" t="s">
        <v>147</v>
      </c>
      <c r="I83" t="s">
        <v>57</v>
      </c>
    </row>
    <row r="84" spans="1:9">
      <c r="A84" s="50">
        <v>45894</v>
      </c>
      <c r="B84" s="51">
        <v>0.3649074074074074</v>
      </c>
      <c r="C84" t="s">
        <v>151</v>
      </c>
      <c r="D84" t="s">
        <v>198</v>
      </c>
      <c r="E84" t="s">
        <v>47</v>
      </c>
      <c r="F84" t="s">
        <v>213</v>
      </c>
      <c r="G84">
        <v>1688160</v>
      </c>
      <c r="H84" t="s">
        <v>147</v>
      </c>
      <c r="I84" t="s">
        <v>57</v>
      </c>
    </row>
    <row r="85" spans="1:9">
      <c r="A85" s="50">
        <v>45894</v>
      </c>
      <c r="B85" s="51">
        <v>0.2405092592592593</v>
      </c>
      <c r="C85" t="s">
        <v>151</v>
      </c>
      <c r="D85" t="s">
        <v>198</v>
      </c>
      <c r="E85" t="s">
        <v>47</v>
      </c>
      <c r="F85" t="s">
        <v>214</v>
      </c>
      <c r="G85">
        <v>-100000</v>
      </c>
      <c r="H85" t="s">
        <v>147</v>
      </c>
      <c r="I85" t="s">
        <v>57</v>
      </c>
    </row>
    <row r="86" spans="1:9">
      <c r="A86" s="50">
        <v>45893</v>
      </c>
      <c r="B86" s="51">
        <v>0.4665856481481481</v>
      </c>
      <c r="C86" t="s">
        <v>145</v>
      </c>
      <c r="D86" t="s">
        <v>34</v>
      </c>
      <c r="E86" t="s">
        <v>47</v>
      </c>
      <c r="F86" t="s">
        <v>146</v>
      </c>
      <c r="G86">
        <v>-1950</v>
      </c>
      <c r="H86" t="s">
        <v>147</v>
      </c>
      <c r="I86" t="s">
        <v>148</v>
      </c>
    </row>
    <row r="87" spans="1:9">
      <c r="A87" s="50">
        <v>45893</v>
      </c>
      <c r="B87" s="51">
        <v>0.3758333333333334</v>
      </c>
      <c r="C87" t="s">
        <v>145</v>
      </c>
      <c r="D87" t="s">
        <v>42</v>
      </c>
      <c r="E87" t="s">
        <v>47</v>
      </c>
      <c r="F87" t="s">
        <v>153</v>
      </c>
      <c r="G87">
        <v>-3900</v>
      </c>
      <c r="H87" t="s">
        <v>147</v>
      </c>
      <c r="I87" t="s">
        <v>154</v>
      </c>
    </row>
    <row r="88" spans="1:9">
      <c r="A88" s="50">
        <v>45892</v>
      </c>
      <c r="B88" s="51">
        <v>0.7638773148148148</v>
      </c>
      <c r="C88" t="s">
        <v>145</v>
      </c>
      <c r="D88" t="s">
        <v>41</v>
      </c>
      <c r="E88" t="s">
        <v>47</v>
      </c>
      <c r="F88" t="s">
        <v>215</v>
      </c>
      <c r="G88">
        <v>-4000</v>
      </c>
      <c r="H88" t="s">
        <v>147</v>
      </c>
      <c r="I88" t="s">
        <v>165</v>
      </c>
    </row>
    <row r="89" spans="1:9">
      <c r="A89" s="50">
        <v>45892</v>
      </c>
      <c r="B89" s="51">
        <v>0.7340393518518519</v>
      </c>
      <c r="C89" t="s">
        <v>145</v>
      </c>
      <c r="D89" t="s">
        <v>34</v>
      </c>
      <c r="E89" t="s">
        <v>47</v>
      </c>
      <c r="F89" t="s">
        <v>146</v>
      </c>
      <c r="G89">
        <v>-1850</v>
      </c>
      <c r="H89" t="s">
        <v>147</v>
      </c>
      <c r="I89" t="s">
        <v>148</v>
      </c>
    </row>
    <row r="90" spans="1:9">
      <c r="A90" s="50">
        <v>45892</v>
      </c>
      <c r="B90" s="51">
        <v>0.7269675925925926</v>
      </c>
      <c r="C90" t="s">
        <v>145</v>
      </c>
      <c r="D90" t="s">
        <v>42</v>
      </c>
      <c r="E90" t="s">
        <v>47</v>
      </c>
      <c r="F90" t="s">
        <v>216</v>
      </c>
      <c r="G90">
        <v>-42900</v>
      </c>
      <c r="H90" t="s">
        <v>147</v>
      </c>
      <c r="I90" t="s">
        <v>148</v>
      </c>
    </row>
    <row r="91" spans="1:9">
      <c r="A91" s="50">
        <v>45892</v>
      </c>
      <c r="B91" s="51">
        <v>0.7268171296296296</v>
      </c>
      <c r="C91" t="s">
        <v>151</v>
      </c>
      <c r="D91" t="s">
        <v>160</v>
      </c>
      <c r="E91" t="s">
        <v>47</v>
      </c>
      <c r="F91" t="s">
        <v>7</v>
      </c>
      <c r="G91">
        <v>200000</v>
      </c>
      <c r="H91" t="s">
        <v>147</v>
      </c>
      <c r="I91" t="s">
        <v>57</v>
      </c>
    </row>
    <row r="92" spans="1:9">
      <c r="A92" s="50">
        <v>45892</v>
      </c>
      <c r="B92" s="51">
        <v>0.7268171296296296</v>
      </c>
      <c r="C92" t="s">
        <v>151</v>
      </c>
      <c r="D92" t="s">
        <v>160</v>
      </c>
      <c r="E92" t="s">
        <v>47</v>
      </c>
      <c r="F92" t="s">
        <v>7</v>
      </c>
      <c r="G92">
        <v>-200000</v>
      </c>
      <c r="H92" t="s">
        <v>147</v>
      </c>
      <c r="I92" t="s">
        <v>61</v>
      </c>
    </row>
    <row r="93" spans="1:9">
      <c r="A93" s="50">
        <v>45892</v>
      </c>
      <c r="B93" s="51">
        <v>0.6459375000000001</v>
      </c>
      <c r="C93" t="s">
        <v>145</v>
      </c>
      <c r="D93" t="s">
        <v>45</v>
      </c>
      <c r="E93" t="s">
        <v>47</v>
      </c>
      <c r="F93" t="s">
        <v>217</v>
      </c>
      <c r="G93">
        <v>-11600</v>
      </c>
      <c r="H93" t="s">
        <v>147</v>
      </c>
      <c r="I93" t="s">
        <v>148</v>
      </c>
    </row>
    <row r="94" spans="1:9">
      <c r="A94" s="50">
        <v>45892</v>
      </c>
      <c r="B94" s="51">
        <v>0.2868981481481481</v>
      </c>
      <c r="C94" t="s">
        <v>145</v>
      </c>
      <c r="D94" t="s">
        <v>34</v>
      </c>
      <c r="E94" t="s">
        <v>47</v>
      </c>
      <c r="F94" t="s">
        <v>146</v>
      </c>
      <c r="G94">
        <v>-1850</v>
      </c>
      <c r="H94" t="s">
        <v>147</v>
      </c>
      <c r="I94" t="s">
        <v>148</v>
      </c>
    </row>
    <row r="95" spans="1:9">
      <c r="A95" s="50">
        <v>45891</v>
      </c>
      <c r="B95" s="51">
        <v>0.7788773148148148</v>
      </c>
      <c r="C95" t="s">
        <v>145</v>
      </c>
      <c r="D95" t="s">
        <v>38</v>
      </c>
      <c r="E95" t="s">
        <v>47</v>
      </c>
      <c r="F95" t="s">
        <v>218</v>
      </c>
      <c r="G95">
        <v>-19090</v>
      </c>
      <c r="H95" t="s">
        <v>147</v>
      </c>
      <c r="I95" t="s">
        <v>165</v>
      </c>
    </row>
    <row r="96" spans="1:9">
      <c r="A96" s="50">
        <v>45891</v>
      </c>
      <c r="B96" s="51">
        <v>0.7141319444444445</v>
      </c>
      <c r="C96" t="s">
        <v>145</v>
      </c>
      <c r="D96" t="s">
        <v>34</v>
      </c>
      <c r="E96" t="s">
        <v>47</v>
      </c>
      <c r="F96" t="s">
        <v>146</v>
      </c>
      <c r="G96">
        <v>-1850</v>
      </c>
      <c r="H96" t="s">
        <v>147</v>
      </c>
      <c r="I96" t="s">
        <v>148</v>
      </c>
    </row>
    <row r="97" spans="1:9">
      <c r="A97" s="50">
        <v>45891</v>
      </c>
      <c r="B97" s="51">
        <v>0.7067592592592593</v>
      </c>
      <c r="C97" t="s">
        <v>145</v>
      </c>
      <c r="D97" t="s">
        <v>42</v>
      </c>
      <c r="E97" t="s">
        <v>47</v>
      </c>
      <c r="F97" t="s">
        <v>153</v>
      </c>
      <c r="G97">
        <v>-42700</v>
      </c>
      <c r="H97" t="s">
        <v>147</v>
      </c>
      <c r="I97" t="s">
        <v>154</v>
      </c>
    </row>
    <row r="98" spans="1:9">
      <c r="A98" s="50">
        <v>45891</v>
      </c>
      <c r="B98" s="51">
        <v>0.2890972222222222</v>
      </c>
      <c r="C98" t="s">
        <v>145</v>
      </c>
      <c r="D98" t="s">
        <v>34</v>
      </c>
      <c r="E98" t="s">
        <v>47</v>
      </c>
      <c r="F98" t="s">
        <v>146</v>
      </c>
      <c r="G98">
        <v>-1850</v>
      </c>
      <c r="H98" t="s">
        <v>147</v>
      </c>
      <c r="I98" t="s">
        <v>148</v>
      </c>
    </row>
    <row r="99" spans="1:9">
      <c r="A99" s="50">
        <v>45891</v>
      </c>
      <c r="B99" s="51">
        <v>0.2764004629629629</v>
      </c>
      <c r="C99" t="s">
        <v>145</v>
      </c>
      <c r="D99" t="s">
        <v>42</v>
      </c>
      <c r="E99" t="s">
        <v>47</v>
      </c>
      <c r="F99" t="s">
        <v>219</v>
      </c>
      <c r="G99">
        <v>-6650</v>
      </c>
      <c r="H99" t="s">
        <v>147</v>
      </c>
      <c r="I99" t="s">
        <v>148</v>
      </c>
    </row>
    <row r="100" spans="1:9">
      <c r="A100" s="50">
        <v>45890</v>
      </c>
      <c r="B100" s="51">
        <v>0.8362615740740741</v>
      </c>
      <c r="C100" t="s">
        <v>145</v>
      </c>
      <c r="D100" t="s">
        <v>44</v>
      </c>
      <c r="E100" t="s">
        <v>220</v>
      </c>
      <c r="F100" t="s">
        <v>221</v>
      </c>
      <c r="G100">
        <v>-73055</v>
      </c>
      <c r="H100" t="s">
        <v>147</v>
      </c>
      <c r="I100" t="s">
        <v>57</v>
      </c>
    </row>
    <row r="101" spans="1:9">
      <c r="A101" s="50">
        <v>45890</v>
      </c>
      <c r="B101" s="51">
        <v>0.7753125</v>
      </c>
      <c r="C101" t="s">
        <v>145</v>
      </c>
      <c r="D101" t="s">
        <v>42</v>
      </c>
      <c r="E101" t="s">
        <v>47</v>
      </c>
      <c r="F101" t="s">
        <v>158</v>
      </c>
      <c r="G101">
        <v>-70000</v>
      </c>
      <c r="H101" t="s">
        <v>147</v>
      </c>
      <c r="I101" t="s">
        <v>57</v>
      </c>
    </row>
    <row r="102" spans="1:9">
      <c r="A102" s="50">
        <v>45890</v>
      </c>
      <c r="B102" s="51">
        <v>0.7748148148148148</v>
      </c>
      <c r="C102" t="s">
        <v>151</v>
      </c>
      <c r="D102" t="s">
        <v>160</v>
      </c>
      <c r="E102" t="s">
        <v>47</v>
      </c>
      <c r="F102" t="s">
        <v>7</v>
      </c>
      <c r="G102">
        <v>200000</v>
      </c>
      <c r="H102" t="s">
        <v>147</v>
      </c>
      <c r="I102" t="s">
        <v>57</v>
      </c>
    </row>
    <row r="103" spans="1:9">
      <c r="A103" s="50">
        <v>45890</v>
      </c>
      <c r="B103" s="51">
        <v>0.7748148148148148</v>
      </c>
      <c r="C103" t="s">
        <v>151</v>
      </c>
      <c r="D103" t="s">
        <v>160</v>
      </c>
      <c r="E103" t="s">
        <v>47</v>
      </c>
      <c r="F103" t="s">
        <v>7</v>
      </c>
      <c r="G103">
        <v>-200000</v>
      </c>
      <c r="H103" t="s">
        <v>147</v>
      </c>
      <c r="I103" t="s">
        <v>61</v>
      </c>
    </row>
    <row r="104" spans="1:9">
      <c r="A104" s="50">
        <v>45890</v>
      </c>
      <c r="B104" s="51">
        <v>0.7666203703703703</v>
      </c>
      <c r="C104" t="s">
        <v>145</v>
      </c>
      <c r="D104" t="s">
        <v>44</v>
      </c>
      <c r="E104" t="s">
        <v>220</v>
      </c>
      <c r="F104" t="s">
        <v>221</v>
      </c>
      <c r="G104">
        <v>-9065</v>
      </c>
      <c r="H104" t="s">
        <v>147</v>
      </c>
      <c r="I104" t="s">
        <v>57</v>
      </c>
    </row>
    <row r="105" spans="1:9">
      <c r="A105" s="50">
        <v>45890</v>
      </c>
      <c r="B105" s="51">
        <v>0.763425925925926</v>
      </c>
      <c r="C105" t="s">
        <v>145</v>
      </c>
      <c r="D105" t="s">
        <v>38</v>
      </c>
      <c r="E105" t="s">
        <v>47</v>
      </c>
      <c r="F105" t="s">
        <v>218</v>
      </c>
      <c r="G105">
        <v>-15860</v>
      </c>
      <c r="H105" t="s">
        <v>147</v>
      </c>
      <c r="I105" t="s">
        <v>165</v>
      </c>
    </row>
    <row r="106" spans="1:9">
      <c r="A106" s="50">
        <v>45890</v>
      </c>
      <c r="B106" s="51">
        <v>0.7178356481481482</v>
      </c>
      <c r="C106" t="s">
        <v>145</v>
      </c>
      <c r="D106" t="s">
        <v>34</v>
      </c>
      <c r="E106" t="s">
        <v>47</v>
      </c>
      <c r="F106" t="s">
        <v>146</v>
      </c>
      <c r="G106">
        <v>-1550</v>
      </c>
      <c r="H106" t="s">
        <v>147</v>
      </c>
      <c r="I106" t="s">
        <v>148</v>
      </c>
    </row>
    <row r="107" spans="1:9">
      <c r="A107" s="50">
        <v>45890</v>
      </c>
      <c r="B107" s="51">
        <v>0.3014120370370371</v>
      </c>
      <c r="C107" t="s">
        <v>145</v>
      </c>
      <c r="D107" t="s">
        <v>42</v>
      </c>
      <c r="E107" t="s">
        <v>47</v>
      </c>
      <c r="F107" t="s">
        <v>153</v>
      </c>
      <c r="G107">
        <v>49000</v>
      </c>
      <c r="H107" t="s">
        <v>147</v>
      </c>
      <c r="I107" t="s">
        <v>154</v>
      </c>
    </row>
    <row r="108" spans="1:9">
      <c r="A108" s="50">
        <v>45890</v>
      </c>
      <c r="B108" s="51">
        <v>0.2869675925925926</v>
      </c>
      <c r="C108" t="s">
        <v>145</v>
      </c>
      <c r="D108" t="s">
        <v>34</v>
      </c>
      <c r="E108" t="s">
        <v>47</v>
      </c>
      <c r="F108" t="s">
        <v>146</v>
      </c>
      <c r="G108">
        <v>-1850</v>
      </c>
      <c r="H108" t="s">
        <v>147</v>
      </c>
      <c r="I108" t="s">
        <v>148</v>
      </c>
    </row>
    <row r="109" spans="1:9">
      <c r="A109" s="50">
        <v>45889</v>
      </c>
      <c r="B109" s="51">
        <v>0.9006481481481482</v>
      </c>
      <c r="C109" t="s">
        <v>145</v>
      </c>
      <c r="D109" t="s">
        <v>34</v>
      </c>
      <c r="E109" t="s">
        <v>47</v>
      </c>
      <c r="F109" t="s">
        <v>146</v>
      </c>
      <c r="G109">
        <v>-1750</v>
      </c>
      <c r="H109" t="s">
        <v>147</v>
      </c>
      <c r="I109" t="s">
        <v>148</v>
      </c>
    </row>
    <row r="110" spans="1:9">
      <c r="A110" s="50">
        <v>45889</v>
      </c>
      <c r="B110" s="51">
        <v>0.7657060185185185</v>
      </c>
      <c r="C110" t="s">
        <v>145</v>
      </c>
      <c r="D110" t="s">
        <v>40</v>
      </c>
      <c r="E110" t="s">
        <v>47</v>
      </c>
      <c r="F110" t="s">
        <v>222</v>
      </c>
      <c r="G110">
        <v>-43000</v>
      </c>
      <c r="H110" t="s">
        <v>147</v>
      </c>
      <c r="I110" t="s">
        <v>148</v>
      </c>
    </row>
    <row r="111" spans="1:9">
      <c r="A111" s="50">
        <v>45889</v>
      </c>
      <c r="B111" s="51">
        <v>0.293275462962963</v>
      </c>
      <c r="C111" t="s">
        <v>145</v>
      </c>
      <c r="D111" t="s">
        <v>34</v>
      </c>
      <c r="E111" t="s">
        <v>47</v>
      </c>
      <c r="F111" t="s">
        <v>146</v>
      </c>
      <c r="G111">
        <v>-1850</v>
      </c>
      <c r="H111" t="s">
        <v>147</v>
      </c>
      <c r="I111" t="s">
        <v>148</v>
      </c>
    </row>
    <row r="112" spans="1:9">
      <c r="A112" s="50">
        <v>45888</v>
      </c>
      <c r="B112" s="51">
        <v>0.7349652777777778</v>
      </c>
      <c r="C112" t="s">
        <v>145</v>
      </c>
      <c r="D112" t="s">
        <v>34</v>
      </c>
      <c r="E112" t="s">
        <v>47</v>
      </c>
      <c r="F112" t="s">
        <v>146</v>
      </c>
      <c r="G112">
        <v>-1850</v>
      </c>
      <c r="H112" t="s">
        <v>147</v>
      </c>
      <c r="I112" t="s">
        <v>148</v>
      </c>
    </row>
    <row r="113" spans="1:9">
      <c r="A113" s="50">
        <v>45888</v>
      </c>
      <c r="B113" s="51">
        <v>0.3216319444444444</v>
      </c>
      <c r="C113" t="s">
        <v>145</v>
      </c>
      <c r="D113" t="s">
        <v>42</v>
      </c>
      <c r="E113" t="s">
        <v>47</v>
      </c>
      <c r="F113" t="s">
        <v>158</v>
      </c>
      <c r="G113">
        <v>-40000</v>
      </c>
      <c r="H113" t="s">
        <v>147</v>
      </c>
      <c r="I113" t="s">
        <v>57</v>
      </c>
    </row>
    <row r="114" spans="1:9">
      <c r="A114" s="50">
        <v>45888</v>
      </c>
      <c r="B114" s="51">
        <v>0.287662037037037</v>
      </c>
      <c r="C114" t="s">
        <v>145</v>
      </c>
      <c r="D114" t="s">
        <v>34</v>
      </c>
      <c r="E114" t="s">
        <v>47</v>
      </c>
      <c r="F114" t="s">
        <v>146</v>
      </c>
      <c r="G114">
        <v>-1850</v>
      </c>
      <c r="H114" t="s">
        <v>147</v>
      </c>
      <c r="I114" t="s">
        <v>148</v>
      </c>
    </row>
    <row r="115" spans="1:9">
      <c r="A115" s="50">
        <v>45888</v>
      </c>
      <c r="B115" s="51">
        <v>0.2787847222222222</v>
      </c>
      <c r="C115" t="s">
        <v>145</v>
      </c>
      <c r="D115" t="s">
        <v>42</v>
      </c>
      <c r="E115" t="s">
        <v>47</v>
      </c>
      <c r="F115" t="s">
        <v>158</v>
      </c>
      <c r="G115">
        <v>-70000</v>
      </c>
      <c r="H115" t="s">
        <v>147</v>
      </c>
      <c r="I115" t="s">
        <v>57</v>
      </c>
    </row>
    <row r="116" spans="1:9">
      <c r="A116" s="50">
        <v>45886</v>
      </c>
      <c r="B116" s="51">
        <v>0.9230902777777777</v>
      </c>
      <c r="C116" t="s">
        <v>145</v>
      </c>
      <c r="D116" t="s">
        <v>42</v>
      </c>
      <c r="E116" t="s">
        <v>47</v>
      </c>
      <c r="F116" t="s">
        <v>219</v>
      </c>
      <c r="G116">
        <v>-108440</v>
      </c>
      <c r="H116" t="s">
        <v>147</v>
      </c>
      <c r="I116" t="s">
        <v>148</v>
      </c>
    </row>
    <row r="117" spans="1:9">
      <c r="A117" s="50">
        <v>45886</v>
      </c>
      <c r="B117" s="51">
        <v>0.4549421296296297</v>
      </c>
      <c r="C117" t="s">
        <v>145</v>
      </c>
      <c r="D117" t="s">
        <v>42</v>
      </c>
      <c r="E117" t="s">
        <v>47</v>
      </c>
      <c r="F117" t="s">
        <v>223</v>
      </c>
      <c r="G117">
        <v>-7890</v>
      </c>
      <c r="H117" t="s">
        <v>147</v>
      </c>
      <c r="I117" t="s">
        <v>148</v>
      </c>
    </row>
    <row r="118" spans="1:9">
      <c r="A118" s="50">
        <v>45885</v>
      </c>
      <c r="B118" s="51">
        <v>0.8448726851851852</v>
      </c>
      <c r="C118" t="s">
        <v>145</v>
      </c>
      <c r="D118" t="s">
        <v>42</v>
      </c>
      <c r="E118" t="s">
        <v>47</v>
      </c>
      <c r="F118" t="s">
        <v>219</v>
      </c>
      <c r="G118">
        <v>-45500</v>
      </c>
      <c r="H118" t="s">
        <v>147</v>
      </c>
      <c r="I118" t="s">
        <v>148</v>
      </c>
    </row>
    <row r="119" spans="1:9">
      <c r="A119" s="50">
        <v>45885</v>
      </c>
      <c r="B119" s="51">
        <v>0.5625347222222222</v>
      </c>
      <c r="C119" t="s">
        <v>151</v>
      </c>
      <c r="D119" t="s">
        <v>160</v>
      </c>
      <c r="E119" t="s">
        <v>47</v>
      </c>
      <c r="F119" t="s">
        <v>163</v>
      </c>
      <c r="G119">
        <v>-10000</v>
      </c>
      <c r="H119" t="s">
        <v>147</v>
      </c>
      <c r="I119" t="s">
        <v>57</v>
      </c>
    </row>
    <row r="120" spans="1:9">
      <c r="A120" s="50">
        <v>45885</v>
      </c>
      <c r="B120" s="51">
        <v>0.5625347222222222</v>
      </c>
      <c r="C120" t="s">
        <v>145</v>
      </c>
      <c r="D120" t="s">
        <v>42</v>
      </c>
      <c r="E120" t="s">
        <v>47</v>
      </c>
      <c r="F120" t="s">
        <v>224</v>
      </c>
      <c r="G120">
        <v>-14900</v>
      </c>
      <c r="H120" t="s">
        <v>147</v>
      </c>
      <c r="I120" t="s">
        <v>154</v>
      </c>
    </row>
    <row r="121" spans="1:9">
      <c r="A121" s="50">
        <v>45885</v>
      </c>
      <c r="B121" s="51">
        <v>0.5625347222222222</v>
      </c>
      <c r="C121" t="s">
        <v>151</v>
      </c>
      <c r="D121" t="s">
        <v>160</v>
      </c>
      <c r="E121" t="s">
        <v>47</v>
      </c>
      <c r="F121" t="s">
        <v>161</v>
      </c>
      <c r="G121">
        <v>10000</v>
      </c>
      <c r="H121" t="s">
        <v>147</v>
      </c>
      <c r="I121" t="s">
        <v>162</v>
      </c>
    </row>
    <row r="122" spans="1:9">
      <c r="A122" s="50">
        <v>45884</v>
      </c>
      <c r="B122" s="51">
        <v>0.3725115740740741</v>
      </c>
      <c r="C122" t="s">
        <v>145</v>
      </c>
      <c r="D122" t="s">
        <v>42</v>
      </c>
      <c r="E122" t="s">
        <v>47</v>
      </c>
      <c r="F122" t="s">
        <v>158</v>
      </c>
      <c r="G122">
        <v>-10000</v>
      </c>
      <c r="H122" t="s">
        <v>147</v>
      </c>
      <c r="I122" t="s">
        <v>57</v>
      </c>
    </row>
    <row r="123" spans="1:9">
      <c r="A123" s="50">
        <v>45884</v>
      </c>
      <c r="B123" s="51">
        <v>0.2882986111111111</v>
      </c>
      <c r="C123" t="s">
        <v>145</v>
      </c>
      <c r="D123" t="s">
        <v>34</v>
      </c>
      <c r="E123" t="s">
        <v>47</v>
      </c>
      <c r="F123" t="s">
        <v>146</v>
      </c>
      <c r="G123">
        <v>-1850</v>
      </c>
      <c r="H123" t="s">
        <v>147</v>
      </c>
      <c r="I123" t="s">
        <v>148</v>
      </c>
    </row>
    <row r="124" spans="1:9">
      <c r="A124" s="50">
        <v>45884</v>
      </c>
      <c r="B124" s="51">
        <v>0.04712962962962963</v>
      </c>
      <c r="C124" t="s">
        <v>151</v>
      </c>
      <c r="D124" t="s">
        <v>160</v>
      </c>
      <c r="E124" t="s">
        <v>47</v>
      </c>
      <c r="F124" t="s">
        <v>163</v>
      </c>
      <c r="G124">
        <v>-10000</v>
      </c>
      <c r="H124" t="s">
        <v>147</v>
      </c>
      <c r="I124" t="s">
        <v>57</v>
      </c>
    </row>
    <row r="125" spans="1:9">
      <c r="A125" s="50">
        <v>45884</v>
      </c>
      <c r="B125" s="51">
        <v>0.04711805555555556</v>
      </c>
      <c r="C125" t="s">
        <v>151</v>
      </c>
      <c r="D125" t="s">
        <v>160</v>
      </c>
      <c r="E125" t="s">
        <v>47</v>
      </c>
      <c r="F125" t="s">
        <v>161</v>
      </c>
      <c r="G125">
        <v>10000</v>
      </c>
      <c r="H125" t="s">
        <v>147</v>
      </c>
      <c r="I125" t="s">
        <v>162</v>
      </c>
    </row>
    <row r="126" spans="1:9">
      <c r="A126" s="50">
        <v>45884</v>
      </c>
      <c r="B126" s="51">
        <v>0.04711805555555556</v>
      </c>
      <c r="C126" t="s">
        <v>145</v>
      </c>
      <c r="D126" t="s">
        <v>42</v>
      </c>
      <c r="E126" t="s">
        <v>47</v>
      </c>
      <c r="F126" t="s">
        <v>225</v>
      </c>
      <c r="G126">
        <v>-1990</v>
      </c>
      <c r="H126" t="s">
        <v>147</v>
      </c>
      <c r="I126" t="s">
        <v>154</v>
      </c>
    </row>
    <row r="127" spans="1:9">
      <c r="A127" s="50">
        <v>45883</v>
      </c>
      <c r="B127" s="51">
        <v>0.7325925925925926</v>
      </c>
      <c r="C127" t="s">
        <v>145</v>
      </c>
      <c r="D127" t="s">
        <v>34</v>
      </c>
      <c r="E127" t="s">
        <v>47</v>
      </c>
      <c r="F127" t="s">
        <v>146</v>
      </c>
      <c r="G127">
        <v>-1850</v>
      </c>
      <c r="H127" t="s">
        <v>147</v>
      </c>
      <c r="I127" t="s">
        <v>148</v>
      </c>
    </row>
    <row r="128" spans="1:9">
      <c r="A128" s="50">
        <v>45883</v>
      </c>
      <c r="B128" s="51">
        <v>0.2934259259259259</v>
      </c>
      <c r="C128" t="s">
        <v>145</v>
      </c>
      <c r="D128" t="s">
        <v>34</v>
      </c>
      <c r="E128" t="s">
        <v>47</v>
      </c>
      <c r="F128" t="s">
        <v>146</v>
      </c>
      <c r="G128">
        <v>-1850</v>
      </c>
      <c r="H128" t="s">
        <v>147</v>
      </c>
      <c r="I128" t="s">
        <v>148</v>
      </c>
    </row>
    <row r="129" spans="1:9">
      <c r="A129" s="50">
        <v>45882</v>
      </c>
      <c r="B129" s="51">
        <v>0.7644675925925926</v>
      </c>
      <c r="C129" t="s">
        <v>145</v>
      </c>
      <c r="D129" t="s">
        <v>35</v>
      </c>
      <c r="E129" t="s">
        <v>204</v>
      </c>
      <c r="F129" t="s">
        <v>226</v>
      </c>
      <c r="G129">
        <v>-10000</v>
      </c>
      <c r="H129" t="s">
        <v>147</v>
      </c>
      <c r="I129" t="s">
        <v>57</v>
      </c>
    </row>
    <row r="130" spans="1:9">
      <c r="A130" s="50">
        <v>45882</v>
      </c>
      <c r="B130" s="51">
        <v>0.3764351851851852</v>
      </c>
      <c r="C130" t="s">
        <v>151</v>
      </c>
      <c r="D130" t="s">
        <v>160</v>
      </c>
      <c r="E130" t="s">
        <v>47</v>
      </c>
      <c r="F130" t="s">
        <v>7</v>
      </c>
      <c r="G130">
        <v>-100000</v>
      </c>
      <c r="H130" t="s">
        <v>147</v>
      </c>
      <c r="I130" t="s">
        <v>57</v>
      </c>
    </row>
    <row r="131" spans="1:9">
      <c r="A131" s="50">
        <v>45882</v>
      </c>
      <c r="B131" s="51">
        <v>0.337337962962963</v>
      </c>
      <c r="C131" t="s">
        <v>145</v>
      </c>
      <c r="D131" t="s">
        <v>42</v>
      </c>
      <c r="E131" t="s">
        <v>47</v>
      </c>
      <c r="F131" t="s">
        <v>153</v>
      </c>
      <c r="G131">
        <v>-49000</v>
      </c>
      <c r="H131" t="s">
        <v>147</v>
      </c>
      <c r="I131" t="s">
        <v>154</v>
      </c>
    </row>
    <row r="132" spans="1:9">
      <c r="A132" s="50">
        <v>45882</v>
      </c>
      <c r="B132" s="51">
        <v>0.3144907407407407</v>
      </c>
      <c r="C132" t="s">
        <v>145</v>
      </c>
      <c r="D132" t="s">
        <v>42</v>
      </c>
      <c r="E132" t="s">
        <v>47</v>
      </c>
      <c r="F132" t="s">
        <v>153</v>
      </c>
      <c r="G132">
        <v>-35900</v>
      </c>
      <c r="H132" t="s">
        <v>147</v>
      </c>
      <c r="I132" t="s">
        <v>154</v>
      </c>
    </row>
    <row r="133" spans="1:9">
      <c r="A133" s="50">
        <v>45882</v>
      </c>
      <c r="B133" s="51">
        <v>0.3144907407407407</v>
      </c>
      <c r="C133" t="s">
        <v>151</v>
      </c>
      <c r="D133" t="s">
        <v>160</v>
      </c>
      <c r="E133" t="s">
        <v>47</v>
      </c>
      <c r="F133" t="s">
        <v>161</v>
      </c>
      <c r="G133">
        <v>30900</v>
      </c>
      <c r="H133" t="s">
        <v>147</v>
      </c>
      <c r="I133" t="s">
        <v>162</v>
      </c>
    </row>
    <row r="134" spans="1:9">
      <c r="A134" s="50">
        <v>45882</v>
      </c>
      <c r="B134" s="51">
        <v>0.3144907407407407</v>
      </c>
      <c r="C134" t="s">
        <v>151</v>
      </c>
      <c r="D134" t="s">
        <v>160</v>
      </c>
      <c r="E134" t="s">
        <v>47</v>
      </c>
      <c r="F134" t="s">
        <v>163</v>
      </c>
      <c r="G134">
        <v>-30900</v>
      </c>
      <c r="H134" t="s">
        <v>147</v>
      </c>
      <c r="I134" t="s">
        <v>57</v>
      </c>
    </row>
    <row r="135" spans="1:9">
      <c r="A135" s="50">
        <v>45882</v>
      </c>
      <c r="B135" s="51">
        <v>0.294212962962963</v>
      </c>
      <c r="C135" t="s">
        <v>145</v>
      </c>
      <c r="D135" t="s">
        <v>34</v>
      </c>
      <c r="E135" t="s">
        <v>47</v>
      </c>
      <c r="F135" t="s">
        <v>146</v>
      </c>
      <c r="G135">
        <v>-1850</v>
      </c>
      <c r="H135" t="s">
        <v>147</v>
      </c>
      <c r="I135" t="s">
        <v>148</v>
      </c>
    </row>
    <row r="136" spans="1:9">
      <c r="A136" s="50">
        <v>45881</v>
      </c>
      <c r="B136" s="51">
        <v>0.7548263888888889</v>
      </c>
      <c r="C136" t="s">
        <v>145</v>
      </c>
      <c r="D136" t="s">
        <v>38</v>
      </c>
      <c r="E136" t="s">
        <v>47</v>
      </c>
      <c r="F136" t="s">
        <v>155</v>
      </c>
      <c r="G136">
        <v>-9140</v>
      </c>
      <c r="H136" t="s">
        <v>147</v>
      </c>
      <c r="I136" t="s">
        <v>148</v>
      </c>
    </row>
    <row r="137" spans="1:9">
      <c r="A137" s="50">
        <v>45881</v>
      </c>
      <c r="B137" s="51">
        <v>0.7497569444444444</v>
      </c>
      <c r="C137" t="s">
        <v>145</v>
      </c>
      <c r="D137" t="s">
        <v>40</v>
      </c>
      <c r="E137" t="s">
        <v>47</v>
      </c>
      <c r="F137" t="s">
        <v>227</v>
      </c>
      <c r="G137">
        <v>-11000</v>
      </c>
      <c r="H137" t="s">
        <v>147</v>
      </c>
      <c r="I137" t="s">
        <v>148</v>
      </c>
    </row>
    <row r="138" spans="1:9">
      <c r="A138" s="50">
        <v>45881</v>
      </c>
      <c r="B138" s="51">
        <v>0.7375810185185185</v>
      </c>
      <c r="C138" t="s">
        <v>145</v>
      </c>
      <c r="D138" t="s">
        <v>34</v>
      </c>
      <c r="E138" t="s">
        <v>47</v>
      </c>
      <c r="F138" t="s">
        <v>146</v>
      </c>
      <c r="G138">
        <v>-1850</v>
      </c>
      <c r="H138" t="s">
        <v>147</v>
      </c>
      <c r="I138" t="s">
        <v>148</v>
      </c>
    </row>
    <row r="139" spans="1:9">
      <c r="A139" s="50">
        <v>45881</v>
      </c>
      <c r="B139" s="51">
        <v>0.7328009259259259</v>
      </c>
      <c r="C139" t="s">
        <v>145</v>
      </c>
      <c r="D139" t="s">
        <v>40</v>
      </c>
      <c r="E139" t="s">
        <v>47</v>
      </c>
      <c r="F139" t="s">
        <v>228</v>
      </c>
      <c r="G139">
        <v>-20000</v>
      </c>
      <c r="H139" t="s">
        <v>147</v>
      </c>
      <c r="I139" t="s">
        <v>148</v>
      </c>
    </row>
    <row r="140" spans="1:9">
      <c r="A140" s="50">
        <v>45881</v>
      </c>
      <c r="B140" s="51">
        <v>0.504525462962963</v>
      </c>
      <c r="C140" t="s">
        <v>151</v>
      </c>
      <c r="D140" t="s">
        <v>160</v>
      </c>
      <c r="E140" t="s">
        <v>47</v>
      </c>
      <c r="F140" t="s">
        <v>161</v>
      </c>
      <c r="G140">
        <v>10000</v>
      </c>
      <c r="H140" t="s">
        <v>147</v>
      </c>
      <c r="I140" t="s">
        <v>162</v>
      </c>
    </row>
    <row r="141" spans="1:9">
      <c r="A141" s="50">
        <v>45881</v>
      </c>
      <c r="B141" s="51">
        <v>0.504525462962963</v>
      </c>
      <c r="C141" t="s">
        <v>151</v>
      </c>
      <c r="D141" t="s">
        <v>160</v>
      </c>
      <c r="E141" t="s">
        <v>47</v>
      </c>
      <c r="F141" t="s">
        <v>163</v>
      </c>
      <c r="G141">
        <v>-10000</v>
      </c>
      <c r="H141" t="s">
        <v>147</v>
      </c>
      <c r="I141" t="s">
        <v>57</v>
      </c>
    </row>
    <row r="142" spans="1:9">
      <c r="A142" s="50">
        <v>45881</v>
      </c>
      <c r="B142" s="51">
        <v>0.3974768518518518</v>
      </c>
      <c r="C142" t="s">
        <v>151</v>
      </c>
      <c r="D142" t="s">
        <v>160</v>
      </c>
      <c r="E142" t="s">
        <v>47</v>
      </c>
      <c r="F142" t="s">
        <v>7</v>
      </c>
      <c r="G142">
        <v>1000000</v>
      </c>
      <c r="H142" t="s">
        <v>147</v>
      </c>
      <c r="I142" t="s">
        <v>61</v>
      </c>
    </row>
    <row r="143" spans="1:9">
      <c r="A143" s="50">
        <v>45881</v>
      </c>
      <c r="B143" s="51">
        <v>0.3974768518518518</v>
      </c>
      <c r="C143" t="s">
        <v>151</v>
      </c>
      <c r="D143" t="s">
        <v>160</v>
      </c>
      <c r="E143" t="s">
        <v>47</v>
      </c>
      <c r="F143" t="s">
        <v>7</v>
      </c>
      <c r="G143">
        <v>-1000000</v>
      </c>
      <c r="H143" t="s">
        <v>147</v>
      </c>
      <c r="I143" t="s">
        <v>57</v>
      </c>
    </row>
    <row r="144" spans="1:9">
      <c r="A144" s="50">
        <v>45881</v>
      </c>
      <c r="B144" s="51">
        <v>0.3770486111111111</v>
      </c>
      <c r="C144" t="s">
        <v>145</v>
      </c>
      <c r="D144" t="s">
        <v>42</v>
      </c>
      <c r="E144" t="s">
        <v>47</v>
      </c>
      <c r="F144" t="s">
        <v>229</v>
      </c>
      <c r="G144">
        <v>-400000</v>
      </c>
      <c r="H144" t="s">
        <v>147</v>
      </c>
      <c r="I144" t="s">
        <v>57</v>
      </c>
    </row>
    <row r="145" spans="1:9">
      <c r="A145" s="50">
        <v>45881</v>
      </c>
      <c r="B145" s="51">
        <v>0.3599768518518519</v>
      </c>
      <c r="C145" t="s">
        <v>151</v>
      </c>
      <c r="D145" t="s">
        <v>198</v>
      </c>
      <c r="E145" t="s">
        <v>47</v>
      </c>
      <c r="F145" t="s">
        <v>213</v>
      </c>
      <c r="G145">
        <v>1893930</v>
      </c>
      <c r="H145" t="s">
        <v>147</v>
      </c>
      <c r="I145" t="s">
        <v>57</v>
      </c>
    </row>
    <row r="146" spans="1:9">
      <c r="A146" s="50">
        <v>45880</v>
      </c>
      <c r="B146" s="51">
        <v>0.7676620370370371</v>
      </c>
      <c r="C146" t="s">
        <v>145</v>
      </c>
      <c r="D146" t="s">
        <v>32</v>
      </c>
      <c r="E146" t="s">
        <v>47</v>
      </c>
      <c r="F146" t="s">
        <v>230</v>
      </c>
      <c r="G146">
        <v>-30000</v>
      </c>
      <c r="H146" t="s">
        <v>147</v>
      </c>
      <c r="I146" t="s">
        <v>57</v>
      </c>
    </row>
    <row r="147" spans="1:9">
      <c r="A147" s="50">
        <v>45880</v>
      </c>
      <c r="B147" s="51">
        <v>0.7613310185185185</v>
      </c>
      <c r="C147" t="s">
        <v>151</v>
      </c>
      <c r="D147" t="s">
        <v>160</v>
      </c>
      <c r="E147" t="s">
        <v>47</v>
      </c>
      <c r="F147" t="s">
        <v>7</v>
      </c>
      <c r="G147">
        <v>-100000</v>
      </c>
      <c r="H147" t="s">
        <v>147</v>
      </c>
      <c r="I147" t="s">
        <v>61</v>
      </c>
    </row>
    <row r="148" spans="1:9">
      <c r="A148" s="50">
        <v>45880</v>
      </c>
      <c r="B148" s="51">
        <v>0.7360763888888889</v>
      </c>
      <c r="C148" t="s">
        <v>145</v>
      </c>
      <c r="D148" t="s">
        <v>43</v>
      </c>
      <c r="E148" t="s">
        <v>47</v>
      </c>
      <c r="F148" t="s">
        <v>231</v>
      </c>
      <c r="G148">
        <v>-9300</v>
      </c>
      <c r="H148" t="s">
        <v>147</v>
      </c>
      <c r="I148" t="s">
        <v>148</v>
      </c>
    </row>
    <row r="149" spans="1:9">
      <c r="A149" s="50">
        <v>45880</v>
      </c>
      <c r="B149" s="51">
        <v>0.7083449074074074</v>
      </c>
      <c r="C149" t="s">
        <v>145</v>
      </c>
      <c r="D149" t="s">
        <v>44</v>
      </c>
      <c r="E149" t="s">
        <v>220</v>
      </c>
      <c r="F149" t="s">
        <v>232</v>
      </c>
      <c r="G149">
        <v>-120710</v>
      </c>
      <c r="H149" t="s">
        <v>147</v>
      </c>
      <c r="I149" t="s">
        <v>148</v>
      </c>
    </row>
    <row r="150" spans="1:9">
      <c r="A150" s="50">
        <v>45880</v>
      </c>
      <c r="B150" s="51">
        <v>0.436712962962963</v>
      </c>
      <c r="C150" t="s">
        <v>151</v>
      </c>
      <c r="D150" t="s">
        <v>160</v>
      </c>
      <c r="E150" t="s">
        <v>47</v>
      </c>
      <c r="F150" t="s">
        <v>7</v>
      </c>
      <c r="G150">
        <v>200000</v>
      </c>
      <c r="H150" t="s">
        <v>147</v>
      </c>
      <c r="I150" t="s">
        <v>57</v>
      </c>
    </row>
    <row r="151" spans="1:9">
      <c r="A151" s="50">
        <v>45880</v>
      </c>
      <c r="B151" s="51">
        <v>0.436712962962963</v>
      </c>
      <c r="C151" t="s">
        <v>151</v>
      </c>
      <c r="D151" t="s">
        <v>160</v>
      </c>
      <c r="E151" t="s">
        <v>47</v>
      </c>
      <c r="F151" t="s">
        <v>7</v>
      </c>
      <c r="G151">
        <v>-200000</v>
      </c>
      <c r="H151" t="s">
        <v>147</v>
      </c>
      <c r="I151" t="s">
        <v>61</v>
      </c>
    </row>
    <row r="152" spans="1:9">
      <c r="A152" s="50">
        <v>45880</v>
      </c>
      <c r="B152" s="51">
        <v>0.3223263888888889</v>
      </c>
      <c r="C152" t="s">
        <v>145</v>
      </c>
      <c r="D152" t="s">
        <v>42</v>
      </c>
      <c r="E152" t="s">
        <v>47</v>
      </c>
      <c r="F152" t="s">
        <v>153</v>
      </c>
      <c r="G152">
        <v>-29900</v>
      </c>
      <c r="H152" t="s">
        <v>147</v>
      </c>
      <c r="I152" t="s">
        <v>154</v>
      </c>
    </row>
    <row r="153" spans="1:9">
      <c r="A153" s="50">
        <v>45880</v>
      </c>
      <c r="B153" s="51">
        <v>0.3218287037037037</v>
      </c>
      <c r="C153" t="s">
        <v>151</v>
      </c>
      <c r="D153" t="s">
        <v>160</v>
      </c>
      <c r="E153" t="s">
        <v>47</v>
      </c>
      <c r="F153" t="s">
        <v>7</v>
      </c>
      <c r="G153">
        <v>-100000</v>
      </c>
      <c r="H153" t="s">
        <v>147</v>
      </c>
      <c r="I153" t="s">
        <v>61</v>
      </c>
    </row>
    <row r="154" spans="1:9">
      <c r="A154" s="50">
        <v>45880</v>
      </c>
      <c r="B154" s="51">
        <v>0.3218287037037037</v>
      </c>
      <c r="C154" t="s">
        <v>151</v>
      </c>
      <c r="D154" t="s">
        <v>160</v>
      </c>
      <c r="E154" t="s">
        <v>47</v>
      </c>
      <c r="F154" t="s">
        <v>233</v>
      </c>
      <c r="G154">
        <v>-64085</v>
      </c>
      <c r="H154" t="s">
        <v>147</v>
      </c>
      <c r="I154" t="s">
        <v>57</v>
      </c>
    </row>
    <row r="155" spans="1:9">
      <c r="A155" s="50">
        <v>45880</v>
      </c>
      <c r="B155" s="51">
        <v>0.3218287037037037</v>
      </c>
      <c r="C155" t="s">
        <v>151</v>
      </c>
      <c r="D155" t="s">
        <v>160</v>
      </c>
      <c r="E155" t="s">
        <v>47</v>
      </c>
      <c r="F155" t="s">
        <v>7</v>
      </c>
      <c r="G155">
        <v>100000</v>
      </c>
      <c r="H155" t="s">
        <v>147</v>
      </c>
      <c r="I155" t="s">
        <v>57</v>
      </c>
    </row>
    <row r="156" spans="1:9">
      <c r="A156" s="50">
        <v>45880</v>
      </c>
      <c r="B156" s="51">
        <v>0.1317824074074074</v>
      </c>
      <c r="C156" t="s">
        <v>145</v>
      </c>
      <c r="D156" t="s">
        <v>35</v>
      </c>
      <c r="E156" t="s">
        <v>207</v>
      </c>
      <c r="F156" t="s">
        <v>234</v>
      </c>
      <c r="G156">
        <v>-68641</v>
      </c>
      <c r="H156" t="s">
        <v>147</v>
      </c>
      <c r="I156" t="s">
        <v>57</v>
      </c>
    </row>
    <row r="157" spans="1:9">
      <c r="A157" s="50">
        <v>45880</v>
      </c>
      <c r="B157" s="51">
        <v>0.1295833333333333</v>
      </c>
      <c r="C157" t="s">
        <v>151</v>
      </c>
      <c r="D157" t="s">
        <v>151</v>
      </c>
      <c r="E157" t="s">
        <v>47</v>
      </c>
      <c r="F157" t="s">
        <v>234</v>
      </c>
      <c r="G157">
        <v>-193688</v>
      </c>
      <c r="H157" t="s">
        <v>147</v>
      </c>
      <c r="I157" t="s">
        <v>61</v>
      </c>
    </row>
    <row r="158" spans="1:9">
      <c r="A158" s="50">
        <v>45879</v>
      </c>
      <c r="B158" s="51">
        <v>0.6799305555555556</v>
      </c>
      <c r="C158" t="s">
        <v>145</v>
      </c>
      <c r="D158" t="s">
        <v>38</v>
      </c>
      <c r="E158" t="s">
        <v>47</v>
      </c>
      <c r="F158" t="s">
        <v>235</v>
      </c>
      <c r="G158">
        <v>-7400</v>
      </c>
      <c r="H158" t="s">
        <v>147</v>
      </c>
      <c r="I158" t="s">
        <v>148</v>
      </c>
    </row>
    <row r="159" spans="1:9">
      <c r="A159" s="50">
        <v>45878</v>
      </c>
      <c r="B159" s="51">
        <v>0.9125694444444444</v>
      </c>
      <c r="C159" t="s">
        <v>145</v>
      </c>
      <c r="D159" t="s">
        <v>40</v>
      </c>
      <c r="E159" t="s">
        <v>47</v>
      </c>
      <c r="F159" t="s">
        <v>228</v>
      </c>
      <c r="G159">
        <v>-16500</v>
      </c>
      <c r="H159" t="s">
        <v>147</v>
      </c>
      <c r="I159" t="s">
        <v>148</v>
      </c>
    </row>
    <row r="160" spans="1:9">
      <c r="A160" s="50">
        <v>45877</v>
      </c>
      <c r="B160" s="51">
        <v>0.7615162037037037</v>
      </c>
      <c r="C160" t="s">
        <v>145</v>
      </c>
      <c r="D160" t="s">
        <v>41</v>
      </c>
      <c r="E160" t="s">
        <v>47</v>
      </c>
      <c r="F160" t="s">
        <v>157</v>
      </c>
      <c r="G160">
        <v>-7459</v>
      </c>
      <c r="H160" t="s">
        <v>147</v>
      </c>
      <c r="I160" t="s">
        <v>57</v>
      </c>
    </row>
    <row r="161" spans="1:9">
      <c r="A161" s="50">
        <v>45877</v>
      </c>
      <c r="B161" s="51">
        <v>0.7363541666666666</v>
      </c>
      <c r="C161" t="s">
        <v>145</v>
      </c>
      <c r="D161" t="s">
        <v>34</v>
      </c>
      <c r="E161" t="s">
        <v>47</v>
      </c>
      <c r="F161" t="s">
        <v>146</v>
      </c>
      <c r="G161">
        <v>-1850</v>
      </c>
      <c r="H161" t="s">
        <v>147</v>
      </c>
      <c r="I161" t="s">
        <v>148</v>
      </c>
    </row>
    <row r="162" spans="1:9">
      <c r="A162" s="50">
        <v>45877</v>
      </c>
      <c r="B162" s="51">
        <v>0.5778472222222222</v>
      </c>
      <c r="C162" t="s">
        <v>151</v>
      </c>
      <c r="D162" t="s">
        <v>160</v>
      </c>
      <c r="E162" t="s">
        <v>47</v>
      </c>
      <c r="F162" t="s">
        <v>7</v>
      </c>
      <c r="G162">
        <v>-100000</v>
      </c>
      <c r="H162" t="s">
        <v>147</v>
      </c>
      <c r="I162" t="s">
        <v>61</v>
      </c>
    </row>
    <row r="163" spans="1:9">
      <c r="A163" s="50">
        <v>45877</v>
      </c>
      <c r="B163" s="51">
        <v>0.5778472222222222</v>
      </c>
      <c r="C163" t="s">
        <v>151</v>
      </c>
      <c r="D163" t="s">
        <v>160</v>
      </c>
      <c r="E163" t="s">
        <v>47</v>
      </c>
      <c r="F163" t="s">
        <v>7</v>
      </c>
      <c r="G163">
        <v>100000</v>
      </c>
      <c r="H163" t="s">
        <v>147</v>
      </c>
      <c r="I163" t="s">
        <v>57</v>
      </c>
    </row>
    <row r="164" spans="1:9">
      <c r="A164" s="50">
        <v>45877</v>
      </c>
      <c r="B164" s="51">
        <v>0.287662037037037</v>
      </c>
      <c r="C164" t="s">
        <v>145</v>
      </c>
      <c r="D164" t="s">
        <v>34</v>
      </c>
      <c r="E164" t="s">
        <v>47</v>
      </c>
      <c r="F164" t="s">
        <v>146</v>
      </c>
      <c r="G164">
        <v>-1850</v>
      </c>
      <c r="H164" t="s">
        <v>147</v>
      </c>
      <c r="I164" t="s">
        <v>148</v>
      </c>
    </row>
    <row r="165" spans="1:9">
      <c r="A165" s="50">
        <v>45876</v>
      </c>
      <c r="B165" s="51">
        <v>0.7631250000000001</v>
      </c>
      <c r="C165" t="s">
        <v>151</v>
      </c>
      <c r="D165" t="s">
        <v>236</v>
      </c>
      <c r="E165" t="s">
        <v>47</v>
      </c>
      <c r="F165" t="s">
        <v>237</v>
      </c>
      <c r="G165">
        <v>-61272</v>
      </c>
      <c r="H165" t="s">
        <v>147</v>
      </c>
      <c r="I165" t="s">
        <v>57</v>
      </c>
    </row>
    <row r="166" spans="1:9">
      <c r="A166" s="50">
        <v>45876</v>
      </c>
      <c r="B166" s="51">
        <v>0.2880092592592592</v>
      </c>
      <c r="C166" t="s">
        <v>145</v>
      </c>
      <c r="D166" t="s">
        <v>34</v>
      </c>
      <c r="E166" t="s">
        <v>47</v>
      </c>
      <c r="F166" t="s">
        <v>146</v>
      </c>
      <c r="G166">
        <v>-1850</v>
      </c>
      <c r="H166" t="s">
        <v>147</v>
      </c>
      <c r="I166" t="s">
        <v>148</v>
      </c>
    </row>
    <row r="167" spans="1:9">
      <c r="A167" s="50">
        <v>45875</v>
      </c>
      <c r="B167" s="51">
        <v>0.8066319444444444</v>
      </c>
      <c r="C167" t="s">
        <v>145</v>
      </c>
      <c r="D167" t="s">
        <v>38</v>
      </c>
      <c r="E167" t="s">
        <v>47</v>
      </c>
      <c r="F167" t="s">
        <v>155</v>
      </c>
      <c r="G167">
        <v>-5280</v>
      </c>
      <c r="H167" t="s">
        <v>147</v>
      </c>
      <c r="I167" t="s">
        <v>148</v>
      </c>
    </row>
    <row r="168" spans="1:9">
      <c r="A168" s="50">
        <v>45875</v>
      </c>
      <c r="B168" s="51">
        <v>0.7864467592592592</v>
      </c>
      <c r="C168" t="s">
        <v>145</v>
      </c>
      <c r="D168" t="s">
        <v>42</v>
      </c>
      <c r="E168" t="s">
        <v>47</v>
      </c>
      <c r="F168" t="s">
        <v>216</v>
      </c>
      <c r="G168">
        <v>-37000</v>
      </c>
      <c r="H168" t="s">
        <v>147</v>
      </c>
      <c r="I168" t="s">
        <v>148</v>
      </c>
    </row>
    <row r="169" spans="1:9">
      <c r="A169" s="50">
        <v>45875</v>
      </c>
      <c r="B169" s="51">
        <v>0.7741435185185185</v>
      </c>
      <c r="C169" t="s">
        <v>151</v>
      </c>
      <c r="D169" t="s">
        <v>160</v>
      </c>
      <c r="E169" t="s">
        <v>47</v>
      </c>
      <c r="F169" t="s">
        <v>7</v>
      </c>
      <c r="G169">
        <v>-100000</v>
      </c>
      <c r="H169" t="s">
        <v>147</v>
      </c>
      <c r="I169" t="s">
        <v>61</v>
      </c>
    </row>
    <row r="170" spans="1:9">
      <c r="A170" s="50">
        <v>45875</v>
      </c>
      <c r="B170" s="51">
        <v>0.7741435185185185</v>
      </c>
      <c r="C170" t="s">
        <v>151</v>
      </c>
      <c r="D170" t="s">
        <v>160</v>
      </c>
      <c r="E170" t="s">
        <v>47</v>
      </c>
      <c r="F170" t="s">
        <v>7</v>
      </c>
      <c r="G170">
        <v>100000</v>
      </c>
      <c r="H170" t="s">
        <v>147</v>
      </c>
      <c r="I170" t="s">
        <v>57</v>
      </c>
    </row>
    <row r="171" spans="1:9">
      <c r="A171" s="50">
        <v>45875</v>
      </c>
      <c r="B171" s="51">
        <v>0.7363773148148148</v>
      </c>
      <c r="C171" t="s">
        <v>145</v>
      </c>
      <c r="D171" t="s">
        <v>34</v>
      </c>
      <c r="E171" t="s">
        <v>47</v>
      </c>
      <c r="F171" t="s">
        <v>146</v>
      </c>
      <c r="G171">
        <v>-1850</v>
      </c>
      <c r="H171" t="s">
        <v>147</v>
      </c>
      <c r="I171" t="s">
        <v>148</v>
      </c>
    </row>
    <row r="172" spans="1:9">
      <c r="A172" s="50">
        <v>45875</v>
      </c>
      <c r="B172" s="51">
        <v>0.5094444444444445</v>
      </c>
      <c r="C172" t="s">
        <v>145</v>
      </c>
      <c r="D172" t="s">
        <v>42</v>
      </c>
      <c r="E172" t="s">
        <v>47</v>
      </c>
      <c r="F172" t="s">
        <v>170</v>
      </c>
      <c r="G172">
        <v>-31470</v>
      </c>
      <c r="H172" t="s">
        <v>147</v>
      </c>
      <c r="I172" t="s">
        <v>148</v>
      </c>
    </row>
    <row r="173" spans="1:9">
      <c r="A173" s="50">
        <v>45875</v>
      </c>
      <c r="B173" s="51">
        <v>0.4165972222222222</v>
      </c>
      <c r="C173" t="s">
        <v>145</v>
      </c>
      <c r="D173" t="s">
        <v>42</v>
      </c>
      <c r="E173" t="s">
        <v>47</v>
      </c>
      <c r="F173" t="s">
        <v>219</v>
      </c>
      <c r="G173">
        <v>-36870</v>
      </c>
      <c r="H173" t="s">
        <v>147</v>
      </c>
      <c r="I173" t="s">
        <v>148</v>
      </c>
    </row>
    <row r="174" spans="1:9">
      <c r="A174" s="50">
        <v>45875</v>
      </c>
      <c r="B174" s="51">
        <v>0.2931828703703704</v>
      </c>
      <c r="C174" t="s">
        <v>145</v>
      </c>
      <c r="D174" t="s">
        <v>34</v>
      </c>
      <c r="E174" t="s">
        <v>47</v>
      </c>
      <c r="F174" t="s">
        <v>146</v>
      </c>
      <c r="G174">
        <v>-1850</v>
      </c>
      <c r="H174" t="s">
        <v>147</v>
      </c>
      <c r="I174" t="s">
        <v>148</v>
      </c>
    </row>
    <row r="175" spans="1:9">
      <c r="A175" s="50">
        <v>45874</v>
      </c>
      <c r="B175" s="51">
        <v>0.2884490740740741</v>
      </c>
      <c r="C175" t="s">
        <v>145</v>
      </c>
      <c r="D175" t="s">
        <v>34</v>
      </c>
      <c r="E175" t="s">
        <v>47</v>
      </c>
      <c r="F175" t="s">
        <v>146</v>
      </c>
      <c r="G175">
        <v>-1850</v>
      </c>
      <c r="H175" t="s">
        <v>147</v>
      </c>
      <c r="I175" t="s">
        <v>148</v>
      </c>
    </row>
    <row r="176" spans="1:9">
      <c r="A176" s="50">
        <v>45874</v>
      </c>
      <c r="B176" s="51">
        <v>0.2432175925925926</v>
      </c>
      <c r="C176" t="s">
        <v>145</v>
      </c>
      <c r="D176" t="s">
        <v>34</v>
      </c>
      <c r="E176" t="s">
        <v>47</v>
      </c>
      <c r="F176" t="s">
        <v>238</v>
      </c>
      <c r="G176">
        <v>-5550</v>
      </c>
      <c r="H176" t="s">
        <v>147</v>
      </c>
      <c r="I176" t="s">
        <v>165</v>
      </c>
    </row>
    <row r="177" spans="1:9">
      <c r="A177" s="50">
        <v>45874</v>
      </c>
      <c r="B177" s="51">
        <v>0.2432060185185185</v>
      </c>
      <c r="C177" t="s">
        <v>145</v>
      </c>
      <c r="D177" t="s">
        <v>47</v>
      </c>
      <c r="E177" t="s">
        <v>47</v>
      </c>
      <c r="F177" t="s">
        <v>239</v>
      </c>
      <c r="G177">
        <v>-19300</v>
      </c>
      <c r="H177" t="s">
        <v>147</v>
      </c>
      <c r="I177" t="s">
        <v>165</v>
      </c>
    </row>
    <row r="178" spans="1:9">
      <c r="A178" s="50">
        <v>45874</v>
      </c>
      <c r="B178" s="51">
        <v>0.2432060185185185</v>
      </c>
      <c r="C178" t="s">
        <v>145</v>
      </c>
      <c r="D178" t="s">
        <v>34</v>
      </c>
      <c r="E178" t="s">
        <v>47</v>
      </c>
      <c r="F178" t="s">
        <v>240</v>
      </c>
      <c r="G178">
        <v>-1500</v>
      </c>
      <c r="H178" t="s">
        <v>147</v>
      </c>
      <c r="I178" t="s">
        <v>165</v>
      </c>
    </row>
    <row r="179" spans="1:9">
      <c r="A179" s="50">
        <v>45871</v>
      </c>
      <c r="B179" s="51">
        <v>0.7333680555555555</v>
      </c>
      <c r="C179" t="s">
        <v>145</v>
      </c>
      <c r="D179" t="s">
        <v>34</v>
      </c>
      <c r="E179" t="s">
        <v>47</v>
      </c>
      <c r="F179" t="s">
        <v>146</v>
      </c>
      <c r="G179">
        <v>-1850</v>
      </c>
      <c r="H179" t="s">
        <v>147</v>
      </c>
      <c r="I179" t="s">
        <v>148</v>
      </c>
    </row>
    <row r="180" spans="1:9">
      <c r="A180" s="50">
        <v>45871</v>
      </c>
      <c r="B180" s="51">
        <v>0.2889351851851852</v>
      </c>
      <c r="C180" t="s">
        <v>145</v>
      </c>
      <c r="D180" t="s">
        <v>34</v>
      </c>
      <c r="E180" t="s">
        <v>47</v>
      </c>
      <c r="F180" t="s">
        <v>146</v>
      </c>
      <c r="G180">
        <v>-1850</v>
      </c>
      <c r="H180" t="s">
        <v>147</v>
      </c>
      <c r="I180" t="s">
        <v>148</v>
      </c>
    </row>
    <row r="181" spans="1:9">
      <c r="A181" s="50">
        <v>45870</v>
      </c>
      <c r="B181" s="51">
        <v>0.8360300925925926</v>
      </c>
      <c r="C181" t="s">
        <v>145</v>
      </c>
      <c r="D181" t="s">
        <v>38</v>
      </c>
      <c r="E181" t="s">
        <v>47</v>
      </c>
      <c r="F181" t="s">
        <v>241</v>
      </c>
      <c r="G181">
        <v>-4800</v>
      </c>
      <c r="H181" t="s">
        <v>147</v>
      </c>
      <c r="I181" t="s">
        <v>165</v>
      </c>
    </row>
    <row r="182" spans="1:9">
      <c r="A182" s="50">
        <v>45870</v>
      </c>
      <c r="B182" s="51">
        <v>0.8071990740740741</v>
      </c>
      <c r="C182" t="s">
        <v>145</v>
      </c>
      <c r="D182" t="s">
        <v>42</v>
      </c>
      <c r="E182" t="s">
        <v>47</v>
      </c>
      <c r="F182" t="s">
        <v>158</v>
      </c>
      <c r="G182">
        <v>-50000</v>
      </c>
      <c r="H182" t="s">
        <v>147</v>
      </c>
      <c r="I182" t="s">
        <v>57</v>
      </c>
    </row>
    <row r="183" spans="1:9">
      <c r="A183" s="50">
        <v>45870</v>
      </c>
      <c r="B183" s="51">
        <v>0.8063425925925926</v>
      </c>
      <c r="C183" t="s">
        <v>151</v>
      </c>
      <c r="D183" t="s">
        <v>160</v>
      </c>
      <c r="E183" t="s">
        <v>47</v>
      </c>
      <c r="F183" t="s">
        <v>7</v>
      </c>
      <c r="G183">
        <v>-100000</v>
      </c>
      <c r="H183" t="s">
        <v>147</v>
      </c>
      <c r="I183" t="s">
        <v>61</v>
      </c>
    </row>
    <row r="184" spans="1:9">
      <c r="A184" s="50">
        <v>45870</v>
      </c>
      <c r="B184" s="51">
        <v>0.8063425925925926</v>
      </c>
      <c r="C184" t="s">
        <v>151</v>
      </c>
      <c r="D184" t="s">
        <v>160</v>
      </c>
      <c r="E184" t="s">
        <v>47</v>
      </c>
      <c r="F184" t="s">
        <v>7</v>
      </c>
      <c r="G184">
        <v>100000</v>
      </c>
      <c r="H184" t="s">
        <v>147</v>
      </c>
      <c r="I184" t="s">
        <v>57</v>
      </c>
    </row>
    <row r="185" spans="1:9">
      <c r="A185" s="50">
        <v>45870</v>
      </c>
      <c r="B185" s="51">
        <v>0.7348148148148148</v>
      </c>
      <c r="C185" t="s">
        <v>145</v>
      </c>
      <c r="D185" t="s">
        <v>34</v>
      </c>
      <c r="E185" t="s">
        <v>47</v>
      </c>
      <c r="F185" t="s">
        <v>146</v>
      </c>
      <c r="G185">
        <v>-1850</v>
      </c>
      <c r="H185" t="s">
        <v>147</v>
      </c>
      <c r="I185" t="s">
        <v>148</v>
      </c>
    </row>
    <row r="186" spans="1:9">
      <c r="A186" s="50">
        <v>45870</v>
      </c>
      <c r="B186" s="51">
        <v>0.4191550925925926</v>
      </c>
      <c r="C186" t="s">
        <v>145</v>
      </c>
      <c r="D186" t="s">
        <v>42</v>
      </c>
      <c r="E186" t="s">
        <v>47</v>
      </c>
      <c r="F186" t="s">
        <v>153</v>
      </c>
      <c r="G186">
        <v>-36900</v>
      </c>
      <c r="H186" t="s">
        <v>147</v>
      </c>
      <c r="I186" t="s">
        <v>154</v>
      </c>
    </row>
    <row r="187" spans="1:9">
      <c r="A187" s="50">
        <v>45870</v>
      </c>
      <c r="B187" s="51">
        <v>0.4164814814814815</v>
      </c>
      <c r="C187" t="s">
        <v>145</v>
      </c>
      <c r="D187" t="s">
        <v>42</v>
      </c>
      <c r="E187" t="s">
        <v>47</v>
      </c>
      <c r="F187" t="s">
        <v>153</v>
      </c>
      <c r="G187">
        <v>-39500</v>
      </c>
      <c r="H187" t="s">
        <v>147</v>
      </c>
      <c r="I187" t="s">
        <v>154</v>
      </c>
    </row>
    <row r="188" spans="1:9">
      <c r="A188" s="50">
        <v>45870</v>
      </c>
      <c r="B188" s="51">
        <v>0.2930092592592592</v>
      </c>
      <c r="C188" t="s">
        <v>145</v>
      </c>
      <c r="D188" t="s">
        <v>34</v>
      </c>
      <c r="E188" t="s">
        <v>47</v>
      </c>
      <c r="F188" t="s">
        <v>146</v>
      </c>
      <c r="G188">
        <v>-1850</v>
      </c>
      <c r="H188" t="s">
        <v>147</v>
      </c>
      <c r="I188" t="s">
        <v>148</v>
      </c>
    </row>
    <row r="189" spans="1:9">
      <c r="A189" s="50">
        <v>45869</v>
      </c>
      <c r="B189" s="51">
        <v>0.7337847222222222</v>
      </c>
      <c r="C189" t="s">
        <v>145</v>
      </c>
      <c r="D189" t="s">
        <v>34</v>
      </c>
      <c r="E189" t="s">
        <v>47</v>
      </c>
      <c r="F189" t="s">
        <v>146</v>
      </c>
      <c r="G189">
        <v>-1850</v>
      </c>
      <c r="H189" t="s">
        <v>147</v>
      </c>
      <c r="I189" t="s">
        <v>148</v>
      </c>
    </row>
    <row r="190" spans="1:9">
      <c r="A190" s="50">
        <v>45869</v>
      </c>
      <c r="B190" s="51">
        <v>0.2878472222222222</v>
      </c>
      <c r="C190" t="s">
        <v>145</v>
      </c>
      <c r="D190" t="s">
        <v>34</v>
      </c>
      <c r="E190" t="s">
        <v>47</v>
      </c>
      <c r="F190" t="s">
        <v>146</v>
      </c>
      <c r="G190">
        <v>-1850</v>
      </c>
      <c r="H190" t="s">
        <v>147</v>
      </c>
      <c r="I190" t="s">
        <v>148</v>
      </c>
    </row>
    <row r="191" spans="1:9">
      <c r="A191" s="50">
        <v>45868</v>
      </c>
      <c r="B191" s="51">
        <v>0.782349537037037</v>
      </c>
      <c r="C191" t="s">
        <v>145</v>
      </c>
      <c r="D191" t="s">
        <v>38</v>
      </c>
      <c r="E191" t="s">
        <v>47</v>
      </c>
      <c r="F191" t="s">
        <v>218</v>
      </c>
      <c r="G191">
        <v>-32770</v>
      </c>
      <c r="H191" t="s">
        <v>147</v>
      </c>
      <c r="I191" t="s">
        <v>148</v>
      </c>
    </row>
    <row r="192" spans="1:9">
      <c r="A192" s="50">
        <v>45868</v>
      </c>
      <c r="B192" s="51">
        <v>0.754537037037037</v>
      </c>
      <c r="C192" t="s">
        <v>145</v>
      </c>
      <c r="D192" t="s">
        <v>34</v>
      </c>
      <c r="E192" t="s">
        <v>47</v>
      </c>
      <c r="F192" t="s">
        <v>146</v>
      </c>
      <c r="G192">
        <v>-1850</v>
      </c>
      <c r="H192" t="s">
        <v>147</v>
      </c>
      <c r="I192" t="s">
        <v>148</v>
      </c>
    </row>
    <row r="193" spans="1:9">
      <c r="A193" s="50">
        <v>45868</v>
      </c>
      <c r="B193" s="51">
        <v>0.7063657407407408</v>
      </c>
      <c r="C193" t="s">
        <v>145</v>
      </c>
      <c r="D193" t="s">
        <v>42</v>
      </c>
      <c r="E193" t="s">
        <v>47</v>
      </c>
      <c r="F193" t="s">
        <v>153</v>
      </c>
      <c r="G193">
        <v>-51800</v>
      </c>
      <c r="H193" t="s">
        <v>147</v>
      </c>
      <c r="I193" t="s">
        <v>154</v>
      </c>
    </row>
    <row r="194" spans="1:9">
      <c r="A194" s="50">
        <v>45868</v>
      </c>
      <c r="B194" s="51">
        <v>0.2881365740740741</v>
      </c>
      <c r="C194" t="s">
        <v>145</v>
      </c>
      <c r="D194" t="s">
        <v>34</v>
      </c>
      <c r="E194" t="s">
        <v>47</v>
      </c>
      <c r="F194" t="s">
        <v>146</v>
      </c>
      <c r="G194">
        <v>-1850</v>
      </c>
      <c r="H194" t="s">
        <v>147</v>
      </c>
      <c r="I194" t="s">
        <v>148</v>
      </c>
    </row>
    <row r="195" spans="1:9">
      <c r="A195" s="50">
        <v>45867</v>
      </c>
      <c r="B195" s="51">
        <v>0.8074652777777778</v>
      </c>
      <c r="C195" t="s">
        <v>145</v>
      </c>
      <c r="D195" t="s">
        <v>38</v>
      </c>
      <c r="E195" t="s">
        <v>47</v>
      </c>
      <c r="F195" t="s">
        <v>155</v>
      </c>
      <c r="G195">
        <v>-18560</v>
      </c>
      <c r="H195" t="s">
        <v>147</v>
      </c>
      <c r="I195" t="s">
        <v>148</v>
      </c>
    </row>
    <row r="196" spans="1:9">
      <c r="A196" s="50">
        <v>45867</v>
      </c>
      <c r="B196" s="51">
        <v>0.6511689814814815</v>
      </c>
      <c r="C196" t="s">
        <v>145</v>
      </c>
      <c r="D196" t="s">
        <v>34</v>
      </c>
      <c r="E196" t="s">
        <v>47</v>
      </c>
      <c r="F196" t="s">
        <v>146</v>
      </c>
      <c r="G196">
        <v>-1850</v>
      </c>
      <c r="H196" t="s">
        <v>147</v>
      </c>
      <c r="I196" t="s">
        <v>148</v>
      </c>
    </row>
    <row r="197" spans="1:9">
      <c r="A197" s="50">
        <v>45867</v>
      </c>
      <c r="B197" s="51">
        <v>0.6022106481481482</v>
      </c>
      <c r="C197" t="s">
        <v>145</v>
      </c>
      <c r="D197" t="s">
        <v>42</v>
      </c>
      <c r="E197" t="s">
        <v>47</v>
      </c>
      <c r="F197" t="s">
        <v>158</v>
      </c>
      <c r="G197">
        <v>-30000</v>
      </c>
      <c r="H197" t="s">
        <v>147</v>
      </c>
      <c r="I197" t="s">
        <v>57</v>
      </c>
    </row>
    <row r="198" spans="1:9">
      <c r="A198" s="50">
        <v>45867</v>
      </c>
      <c r="B198" s="51">
        <v>0.2888888888888889</v>
      </c>
      <c r="C198" t="s">
        <v>145</v>
      </c>
      <c r="D198" t="s">
        <v>34</v>
      </c>
      <c r="E198" t="s">
        <v>47</v>
      </c>
      <c r="F198" t="s">
        <v>146</v>
      </c>
      <c r="G198">
        <v>-1850</v>
      </c>
      <c r="H198" t="s">
        <v>147</v>
      </c>
      <c r="I198" t="s">
        <v>148</v>
      </c>
    </row>
    <row r="199" spans="1:9">
      <c r="A199" s="50">
        <v>45866</v>
      </c>
      <c r="B199" s="51">
        <v>0.7671759259259259</v>
      </c>
      <c r="C199" t="s">
        <v>145</v>
      </c>
      <c r="D199" t="s">
        <v>35</v>
      </c>
      <c r="E199" t="s">
        <v>47</v>
      </c>
      <c r="F199" t="s">
        <v>202</v>
      </c>
      <c r="G199">
        <v>-10000</v>
      </c>
      <c r="H199" t="s">
        <v>147</v>
      </c>
      <c r="I199" t="s">
        <v>57</v>
      </c>
    </row>
    <row r="200" spans="1:9">
      <c r="A200" s="50">
        <v>45866</v>
      </c>
      <c r="B200" s="51">
        <v>0.7040972222222223</v>
      </c>
      <c r="C200" t="s">
        <v>145</v>
      </c>
      <c r="D200" t="s">
        <v>38</v>
      </c>
      <c r="E200" t="s">
        <v>47</v>
      </c>
      <c r="F200" t="s">
        <v>218</v>
      </c>
      <c r="G200">
        <v>-36940</v>
      </c>
      <c r="H200" t="s">
        <v>147</v>
      </c>
      <c r="I200" t="s">
        <v>148</v>
      </c>
    </row>
    <row r="201" spans="1:9">
      <c r="A201" s="50">
        <v>45865</v>
      </c>
      <c r="B201" s="51">
        <v>0.7324421296296296</v>
      </c>
      <c r="C201" t="s">
        <v>145</v>
      </c>
      <c r="D201" t="s">
        <v>42</v>
      </c>
      <c r="E201" t="s">
        <v>47</v>
      </c>
      <c r="F201" t="s">
        <v>242</v>
      </c>
      <c r="G201">
        <v>-1000</v>
      </c>
      <c r="H201" t="s">
        <v>147</v>
      </c>
      <c r="I201" t="s">
        <v>148</v>
      </c>
    </row>
    <row r="202" spans="1:9">
      <c r="A202" s="50">
        <v>45865</v>
      </c>
      <c r="B202" s="51">
        <v>0.7307175925925926</v>
      </c>
      <c r="C202" t="s">
        <v>145</v>
      </c>
      <c r="D202" t="s">
        <v>43</v>
      </c>
      <c r="E202" t="s">
        <v>47</v>
      </c>
      <c r="F202" t="s">
        <v>243</v>
      </c>
      <c r="G202">
        <v>-9500</v>
      </c>
      <c r="H202" t="s">
        <v>147</v>
      </c>
      <c r="I202" t="s">
        <v>148</v>
      </c>
    </row>
    <row r="203" spans="1:9">
      <c r="A203" s="50">
        <v>45865</v>
      </c>
      <c r="B203" s="51">
        <v>0.6341898148148148</v>
      </c>
      <c r="C203" t="s">
        <v>145</v>
      </c>
      <c r="D203" t="s">
        <v>34</v>
      </c>
      <c r="E203" t="s">
        <v>47</v>
      </c>
      <c r="F203" t="s">
        <v>244</v>
      </c>
      <c r="G203">
        <v>-1500</v>
      </c>
      <c r="H203" t="s">
        <v>147</v>
      </c>
      <c r="I203" t="s">
        <v>148</v>
      </c>
    </row>
    <row r="204" spans="1:9">
      <c r="A204" s="50">
        <v>45864</v>
      </c>
      <c r="B204" s="51">
        <v>0.8557407407407407</v>
      </c>
      <c r="C204" t="s">
        <v>151</v>
      </c>
      <c r="D204" t="s">
        <v>160</v>
      </c>
      <c r="E204" t="s">
        <v>47</v>
      </c>
      <c r="F204" t="s">
        <v>161</v>
      </c>
      <c r="G204">
        <v>27787</v>
      </c>
      <c r="H204" t="s">
        <v>147</v>
      </c>
      <c r="I204" t="s">
        <v>162</v>
      </c>
    </row>
    <row r="205" spans="1:9">
      <c r="A205" s="50">
        <v>45864</v>
      </c>
      <c r="B205" s="51">
        <v>0.8557407407407407</v>
      </c>
      <c r="C205" t="s">
        <v>145</v>
      </c>
      <c r="D205" t="s">
        <v>42</v>
      </c>
      <c r="E205" t="s">
        <v>47</v>
      </c>
      <c r="F205" t="s">
        <v>153</v>
      </c>
      <c r="G205">
        <v>-34000</v>
      </c>
      <c r="H205" t="s">
        <v>147</v>
      </c>
      <c r="I205" t="s">
        <v>154</v>
      </c>
    </row>
    <row r="206" spans="1:9">
      <c r="A206" s="50">
        <v>45864</v>
      </c>
      <c r="B206" s="51">
        <v>0.8557407407407407</v>
      </c>
      <c r="C206" t="s">
        <v>151</v>
      </c>
      <c r="D206" t="s">
        <v>160</v>
      </c>
      <c r="E206" t="s">
        <v>47</v>
      </c>
      <c r="F206" t="s">
        <v>163</v>
      </c>
      <c r="G206">
        <v>-27787</v>
      </c>
      <c r="H206" t="s">
        <v>147</v>
      </c>
      <c r="I206" t="s">
        <v>57</v>
      </c>
    </row>
    <row r="207" spans="1:9">
      <c r="A207" s="50">
        <v>45864</v>
      </c>
      <c r="B207" s="51">
        <v>0.6628819444444445</v>
      </c>
      <c r="C207" t="s">
        <v>145</v>
      </c>
      <c r="D207" t="s">
        <v>38</v>
      </c>
      <c r="E207" t="s">
        <v>47</v>
      </c>
      <c r="F207" t="s">
        <v>201</v>
      </c>
      <c r="G207">
        <v>-15390</v>
      </c>
      <c r="H207" t="s">
        <v>147</v>
      </c>
      <c r="I207" t="s">
        <v>148</v>
      </c>
    </row>
    <row r="208" spans="1:9">
      <c r="A208" s="50">
        <v>45864</v>
      </c>
      <c r="B208" s="51">
        <v>0.6267476851851852</v>
      </c>
      <c r="C208" t="s">
        <v>145</v>
      </c>
      <c r="D208" t="s">
        <v>36</v>
      </c>
      <c r="E208" t="s">
        <v>47</v>
      </c>
      <c r="F208" t="s">
        <v>245</v>
      </c>
      <c r="G208">
        <v>-15000</v>
      </c>
      <c r="H208" t="s">
        <v>147</v>
      </c>
      <c r="I208" t="s">
        <v>148</v>
      </c>
    </row>
    <row r="209" spans="1:9">
      <c r="A209" s="50">
        <v>45864</v>
      </c>
      <c r="B209" s="51">
        <v>0.2866087962962963</v>
      </c>
      <c r="C209" t="s">
        <v>145</v>
      </c>
      <c r="D209" t="s">
        <v>34</v>
      </c>
      <c r="E209" t="s">
        <v>47</v>
      </c>
      <c r="F209" t="s">
        <v>146</v>
      </c>
      <c r="G209">
        <v>-1850</v>
      </c>
      <c r="H209" t="s">
        <v>147</v>
      </c>
      <c r="I209" t="s">
        <v>148</v>
      </c>
    </row>
    <row r="210" spans="1:9">
      <c r="A210" s="50">
        <v>45863</v>
      </c>
      <c r="B210" s="51">
        <v>0.9329282407407408</v>
      </c>
      <c r="C210" t="s">
        <v>151</v>
      </c>
      <c r="D210" t="s">
        <v>160</v>
      </c>
      <c r="E210" t="s">
        <v>47</v>
      </c>
      <c r="F210" t="s">
        <v>7</v>
      </c>
      <c r="G210">
        <v>-150000</v>
      </c>
      <c r="H210" t="s">
        <v>147</v>
      </c>
      <c r="I210" t="s">
        <v>57</v>
      </c>
    </row>
    <row r="211" spans="1:9">
      <c r="A211" s="50">
        <v>45863</v>
      </c>
      <c r="B211" s="51">
        <v>0.8090162037037038</v>
      </c>
      <c r="C211" t="s">
        <v>145</v>
      </c>
      <c r="D211" t="s">
        <v>35</v>
      </c>
      <c r="E211" t="s">
        <v>204</v>
      </c>
      <c r="F211" t="s">
        <v>246</v>
      </c>
      <c r="G211">
        <v>-99360</v>
      </c>
      <c r="H211" t="s">
        <v>147</v>
      </c>
      <c r="I211" t="s">
        <v>57</v>
      </c>
    </row>
    <row r="212" spans="1:9">
      <c r="A212" s="50">
        <v>45863</v>
      </c>
      <c r="B212" s="51">
        <v>0.8090162037037038</v>
      </c>
      <c r="C212" t="s">
        <v>145</v>
      </c>
      <c r="D212" t="s">
        <v>35</v>
      </c>
      <c r="E212" t="s">
        <v>204</v>
      </c>
      <c r="F212" t="s">
        <v>247</v>
      </c>
      <c r="G212">
        <v>-32200</v>
      </c>
      <c r="H212" t="s">
        <v>147</v>
      </c>
      <c r="I212" t="s">
        <v>57</v>
      </c>
    </row>
    <row r="213" spans="1:9">
      <c r="A213" s="50">
        <v>45863</v>
      </c>
      <c r="B213" s="51">
        <v>0.8090162037037038</v>
      </c>
      <c r="C213" t="s">
        <v>145</v>
      </c>
      <c r="D213" t="s">
        <v>35</v>
      </c>
      <c r="E213" t="s">
        <v>207</v>
      </c>
      <c r="F213" t="s">
        <v>208</v>
      </c>
      <c r="G213">
        <v>-2907</v>
      </c>
      <c r="H213" t="s">
        <v>147</v>
      </c>
      <c r="I213" t="s">
        <v>57</v>
      </c>
    </row>
    <row r="214" spans="1:9">
      <c r="A214" s="50">
        <v>45863</v>
      </c>
      <c r="B214" s="51">
        <v>0.7792824074074074</v>
      </c>
      <c r="C214" t="s">
        <v>151</v>
      </c>
      <c r="D214" t="s">
        <v>198</v>
      </c>
      <c r="E214" t="s">
        <v>47</v>
      </c>
      <c r="F214" t="s">
        <v>211</v>
      </c>
      <c r="G214">
        <v>-50000</v>
      </c>
      <c r="H214" t="s">
        <v>147</v>
      </c>
      <c r="I214" t="s">
        <v>57</v>
      </c>
    </row>
    <row r="215" spans="1:9">
      <c r="A215" s="50">
        <v>45863</v>
      </c>
      <c r="B215" s="51">
        <v>0.7738541666666666</v>
      </c>
      <c r="C215" t="s">
        <v>145</v>
      </c>
      <c r="D215" t="s">
        <v>42</v>
      </c>
      <c r="E215" t="s">
        <v>47</v>
      </c>
      <c r="F215" t="s">
        <v>248</v>
      </c>
      <c r="G215">
        <v>-45000</v>
      </c>
      <c r="H215" t="s">
        <v>147</v>
      </c>
      <c r="I215" t="s">
        <v>57</v>
      </c>
    </row>
    <row r="216" spans="1:9">
      <c r="A216" s="50">
        <v>45863</v>
      </c>
      <c r="B216" s="51">
        <v>0.7339351851851852</v>
      </c>
      <c r="C216" t="s">
        <v>145</v>
      </c>
      <c r="D216" t="s">
        <v>34</v>
      </c>
      <c r="E216" t="s">
        <v>47</v>
      </c>
      <c r="F216" t="s">
        <v>146</v>
      </c>
      <c r="G216">
        <v>-1850</v>
      </c>
      <c r="H216" t="s">
        <v>147</v>
      </c>
      <c r="I216" t="s">
        <v>148</v>
      </c>
    </row>
    <row r="217" spans="1:9">
      <c r="A217" s="50">
        <v>45863</v>
      </c>
      <c r="B217" s="51">
        <v>0.4419328703703704</v>
      </c>
      <c r="C217" t="s">
        <v>151</v>
      </c>
      <c r="D217" t="s">
        <v>160</v>
      </c>
      <c r="E217" t="s">
        <v>47</v>
      </c>
      <c r="F217" t="s">
        <v>7</v>
      </c>
      <c r="G217">
        <v>-1000000</v>
      </c>
      <c r="H217" t="s">
        <v>147</v>
      </c>
      <c r="I217" t="s">
        <v>57</v>
      </c>
    </row>
    <row r="218" spans="1:9">
      <c r="A218" s="50">
        <v>45863</v>
      </c>
      <c r="B218" s="51">
        <v>0.4419328703703704</v>
      </c>
      <c r="C218" t="s">
        <v>151</v>
      </c>
      <c r="D218" t="s">
        <v>160</v>
      </c>
      <c r="E218" t="s">
        <v>47</v>
      </c>
      <c r="F218" t="s">
        <v>7</v>
      </c>
      <c r="G218">
        <v>1000000</v>
      </c>
      <c r="H218" t="s">
        <v>147</v>
      </c>
      <c r="I218" t="s">
        <v>61</v>
      </c>
    </row>
    <row r="219" spans="1:9">
      <c r="A219" s="50">
        <v>45863</v>
      </c>
      <c r="B219" s="51">
        <v>0.4416782407407407</v>
      </c>
      <c r="C219" t="s">
        <v>151</v>
      </c>
      <c r="D219" t="s">
        <v>151</v>
      </c>
      <c r="E219" t="s">
        <v>47</v>
      </c>
      <c r="F219" t="s">
        <v>249</v>
      </c>
      <c r="G219">
        <v>-20000</v>
      </c>
      <c r="H219" t="s">
        <v>147</v>
      </c>
      <c r="I219" t="s">
        <v>57</v>
      </c>
    </row>
    <row r="220" spans="1:9">
      <c r="A220" s="50">
        <v>45863</v>
      </c>
      <c r="B220" s="51">
        <v>0.3790625</v>
      </c>
      <c r="C220" t="s">
        <v>151</v>
      </c>
      <c r="D220" t="s">
        <v>198</v>
      </c>
      <c r="E220" t="s">
        <v>47</v>
      </c>
      <c r="F220" t="s">
        <v>214</v>
      </c>
      <c r="G220">
        <v>-100000</v>
      </c>
      <c r="H220" t="s">
        <v>147</v>
      </c>
      <c r="I220" t="s">
        <v>57</v>
      </c>
    </row>
    <row r="221" spans="1:9">
      <c r="A221" s="50">
        <v>45863</v>
      </c>
      <c r="B221" s="51">
        <v>0.3657175925925926</v>
      </c>
      <c r="C221" t="s">
        <v>151</v>
      </c>
      <c r="D221" t="s">
        <v>198</v>
      </c>
      <c r="E221" t="s">
        <v>47</v>
      </c>
      <c r="F221" t="s">
        <v>213</v>
      </c>
      <c r="G221">
        <v>1762680</v>
      </c>
      <c r="H221" t="s">
        <v>147</v>
      </c>
      <c r="I221" t="s">
        <v>57</v>
      </c>
    </row>
    <row r="222" spans="1:9">
      <c r="A222" s="50">
        <v>45863</v>
      </c>
      <c r="B222" s="51">
        <v>0.2855208333333333</v>
      </c>
      <c r="C222" t="s">
        <v>145</v>
      </c>
      <c r="D222" t="s">
        <v>34</v>
      </c>
      <c r="E222" t="s">
        <v>47</v>
      </c>
      <c r="F222" t="s">
        <v>146</v>
      </c>
      <c r="G222">
        <v>-1850</v>
      </c>
      <c r="H222" t="s">
        <v>147</v>
      </c>
      <c r="I222" t="s">
        <v>148</v>
      </c>
    </row>
    <row r="223" spans="1:9">
      <c r="A223" s="50">
        <v>45862</v>
      </c>
      <c r="B223" s="51">
        <v>0.3758796296296296</v>
      </c>
      <c r="C223" t="s">
        <v>145</v>
      </c>
      <c r="D223" t="s">
        <v>42</v>
      </c>
      <c r="E223" t="s">
        <v>47</v>
      </c>
      <c r="F223" t="s">
        <v>153</v>
      </c>
      <c r="G223">
        <v>-3900</v>
      </c>
      <c r="H223" t="s">
        <v>147</v>
      </c>
      <c r="I223" t="s">
        <v>154</v>
      </c>
    </row>
    <row r="224" spans="1:9">
      <c r="A224" s="50">
        <v>45862</v>
      </c>
      <c r="B224" s="51">
        <v>0.3758796296296296</v>
      </c>
      <c r="C224" t="s">
        <v>151</v>
      </c>
      <c r="D224" t="s">
        <v>160</v>
      </c>
      <c r="E224" t="s">
        <v>47</v>
      </c>
      <c r="F224" t="s">
        <v>161</v>
      </c>
      <c r="G224">
        <v>10000</v>
      </c>
      <c r="H224" t="s">
        <v>147</v>
      </c>
      <c r="I224" t="s">
        <v>162</v>
      </c>
    </row>
    <row r="225" spans="1:9">
      <c r="A225" s="50">
        <v>45862</v>
      </c>
      <c r="B225" s="51">
        <v>0.3758796296296296</v>
      </c>
      <c r="C225" t="s">
        <v>151</v>
      </c>
      <c r="D225" t="s">
        <v>160</v>
      </c>
      <c r="E225" t="s">
        <v>47</v>
      </c>
      <c r="F225" t="s">
        <v>163</v>
      </c>
      <c r="G225">
        <v>-10000</v>
      </c>
      <c r="H225" t="s">
        <v>147</v>
      </c>
      <c r="I225" t="s">
        <v>57</v>
      </c>
    </row>
    <row r="226" spans="1:9">
      <c r="A226" s="50">
        <v>45860</v>
      </c>
      <c r="B226" s="51">
        <v>0.7653703703703704</v>
      </c>
      <c r="C226" t="s">
        <v>145</v>
      </c>
      <c r="D226" t="s">
        <v>34</v>
      </c>
      <c r="E226" t="s">
        <v>47</v>
      </c>
      <c r="F226" t="s">
        <v>146</v>
      </c>
      <c r="G226">
        <v>-1850</v>
      </c>
      <c r="H226" t="s">
        <v>147</v>
      </c>
      <c r="I226" t="s">
        <v>148</v>
      </c>
    </row>
    <row r="227" spans="1:9">
      <c r="A227" s="50">
        <v>45860</v>
      </c>
      <c r="B227" s="51">
        <v>0.6986574074074074</v>
      </c>
      <c r="C227" t="s">
        <v>145</v>
      </c>
      <c r="D227" t="s">
        <v>38</v>
      </c>
      <c r="E227" t="s">
        <v>47</v>
      </c>
      <c r="F227" t="s">
        <v>250</v>
      </c>
      <c r="G227">
        <v>-2500</v>
      </c>
      <c r="H227" t="s">
        <v>147</v>
      </c>
      <c r="I227" t="s">
        <v>165</v>
      </c>
    </row>
    <row r="228" spans="1:9">
      <c r="A228" s="50">
        <v>45860</v>
      </c>
      <c r="B228" s="51">
        <v>0.2868171296296296</v>
      </c>
      <c r="C228" t="s">
        <v>145</v>
      </c>
      <c r="D228" t="s">
        <v>34</v>
      </c>
      <c r="E228" t="s">
        <v>47</v>
      </c>
      <c r="F228" t="s">
        <v>146</v>
      </c>
      <c r="G228">
        <v>-1850</v>
      </c>
      <c r="H228" t="s">
        <v>147</v>
      </c>
      <c r="I228" t="s">
        <v>148</v>
      </c>
    </row>
    <row r="229" spans="1:9">
      <c r="A229" s="50">
        <v>45859</v>
      </c>
      <c r="B229" s="51">
        <v>0.7940972222222222</v>
      </c>
      <c r="C229" t="s">
        <v>145</v>
      </c>
      <c r="D229" t="s">
        <v>40</v>
      </c>
      <c r="E229" t="s">
        <v>47</v>
      </c>
      <c r="F229" t="s">
        <v>228</v>
      </c>
      <c r="G229">
        <v>-30000</v>
      </c>
      <c r="H229" t="s">
        <v>147</v>
      </c>
      <c r="I229" t="s">
        <v>148</v>
      </c>
    </row>
    <row r="230" spans="1:9">
      <c r="A230" s="50">
        <v>45859</v>
      </c>
      <c r="B230" s="51">
        <v>0.7939930555555555</v>
      </c>
      <c r="C230" t="s">
        <v>151</v>
      </c>
      <c r="D230" t="s">
        <v>160</v>
      </c>
      <c r="E230" t="s">
        <v>47</v>
      </c>
      <c r="F230" t="s">
        <v>7</v>
      </c>
      <c r="G230">
        <v>80000</v>
      </c>
      <c r="H230" t="s">
        <v>147</v>
      </c>
      <c r="I230" t="s">
        <v>57</v>
      </c>
    </row>
    <row r="231" spans="1:9">
      <c r="A231" s="50">
        <v>45859</v>
      </c>
      <c r="B231" s="51">
        <v>0.7939930555555555</v>
      </c>
      <c r="C231" t="s">
        <v>151</v>
      </c>
      <c r="D231" t="s">
        <v>160</v>
      </c>
      <c r="E231" t="s">
        <v>47</v>
      </c>
      <c r="F231" t="s">
        <v>7</v>
      </c>
      <c r="G231">
        <v>-80000</v>
      </c>
      <c r="H231" t="s">
        <v>147</v>
      </c>
      <c r="I231" t="s">
        <v>61</v>
      </c>
    </row>
    <row r="232" spans="1:9">
      <c r="A232" s="50">
        <v>45859</v>
      </c>
      <c r="B232" s="51">
        <v>0.7737268518518519</v>
      </c>
      <c r="C232" t="s">
        <v>145</v>
      </c>
      <c r="D232" t="s">
        <v>44</v>
      </c>
      <c r="E232" t="s">
        <v>220</v>
      </c>
      <c r="F232" t="s">
        <v>221</v>
      </c>
      <c r="G232">
        <v>-82120</v>
      </c>
      <c r="H232" t="s">
        <v>147</v>
      </c>
      <c r="I232" t="s">
        <v>57</v>
      </c>
    </row>
    <row r="233" spans="1:9">
      <c r="A233" s="50">
        <v>45859</v>
      </c>
      <c r="B233" s="51">
        <v>0.4080671296296297</v>
      </c>
      <c r="C233" t="s">
        <v>145</v>
      </c>
      <c r="D233" t="s">
        <v>42</v>
      </c>
      <c r="E233" t="s">
        <v>47</v>
      </c>
      <c r="F233" t="s">
        <v>153</v>
      </c>
      <c r="G233">
        <v>-44000</v>
      </c>
      <c r="H233" t="s">
        <v>147</v>
      </c>
      <c r="I233" t="s">
        <v>154</v>
      </c>
    </row>
    <row r="234" spans="1:9">
      <c r="A234" s="50">
        <v>45859</v>
      </c>
      <c r="B234" s="51">
        <v>0.2892824074074074</v>
      </c>
      <c r="C234" t="s">
        <v>145</v>
      </c>
      <c r="D234" t="s">
        <v>42</v>
      </c>
      <c r="E234" t="s">
        <v>47</v>
      </c>
      <c r="F234" t="s">
        <v>219</v>
      </c>
      <c r="G234">
        <v>-19890</v>
      </c>
      <c r="H234" t="s">
        <v>147</v>
      </c>
      <c r="I234" t="s">
        <v>148</v>
      </c>
    </row>
    <row r="235" spans="1:9">
      <c r="A235" s="50">
        <v>45858</v>
      </c>
      <c r="B235" s="51">
        <v>0.747349537037037</v>
      </c>
      <c r="C235" t="s">
        <v>145</v>
      </c>
      <c r="D235" t="s">
        <v>38</v>
      </c>
      <c r="E235" t="s">
        <v>47</v>
      </c>
      <c r="F235" t="s">
        <v>251</v>
      </c>
      <c r="G235">
        <v>-184370</v>
      </c>
      <c r="H235" t="s">
        <v>147</v>
      </c>
      <c r="I235" t="s">
        <v>165</v>
      </c>
    </row>
    <row r="236" spans="1:9">
      <c r="A236" s="50">
        <v>45857</v>
      </c>
      <c r="B236" s="51">
        <v>0.7157870370370371</v>
      </c>
      <c r="C236" t="s">
        <v>145</v>
      </c>
      <c r="D236" t="s">
        <v>34</v>
      </c>
      <c r="E236" t="s">
        <v>47</v>
      </c>
      <c r="F236" t="s">
        <v>146</v>
      </c>
      <c r="G236">
        <v>-1850</v>
      </c>
      <c r="H236" t="s">
        <v>147</v>
      </c>
      <c r="I236" t="s">
        <v>148</v>
      </c>
    </row>
    <row r="237" spans="1:9">
      <c r="A237" s="50">
        <v>45857</v>
      </c>
      <c r="B237" s="51">
        <v>0.2877083333333333</v>
      </c>
      <c r="C237" t="s">
        <v>145</v>
      </c>
      <c r="D237" t="s">
        <v>34</v>
      </c>
      <c r="E237" t="s">
        <v>47</v>
      </c>
      <c r="F237" t="s">
        <v>146</v>
      </c>
      <c r="G237">
        <v>-1850</v>
      </c>
      <c r="H237" t="s">
        <v>147</v>
      </c>
      <c r="I237" t="s">
        <v>148</v>
      </c>
    </row>
    <row r="238" spans="1:9">
      <c r="A238" s="50">
        <v>45856</v>
      </c>
      <c r="B238" s="51">
        <v>0.8334490740740741</v>
      </c>
      <c r="C238" t="s">
        <v>145</v>
      </c>
      <c r="D238" t="s">
        <v>38</v>
      </c>
      <c r="E238" t="s">
        <v>47</v>
      </c>
      <c r="F238" t="s">
        <v>201</v>
      </c>
      <c r="G238">
        <v>-17590</v>
      </c>
      <c r="H238" t="s">
        <v>147</v>
      </c>
      <c r="I238" t="s">
        <v>148</v>
      </c>
    </row>
    <row r="239" spans="1:9">
      <c r="A239" s="50">
        <v>45856</v>
      </c>
      <c r="B239" s="51">
        <v>0.753912037037037</v>
      </c>
      <c r="C239" t="s">
        <v>151</v>
      </c>
      <c r="D239" t="s">
        <v>160</v>
      </c>
      <c r="E239" t="s">
        <v>47</v>
      </c>
      <c r="F239" t="s">
        <v>161</v>
      </c>
      <c r="G239">
        <v>-50000</v>
      </c>
      <c r="H239" t="s">
        <v>147</v>
      </c>
      <c r="I239" t="s">
        <v>162</v>
      </c>
    </row>
    <row r="240" spans="1:9">
      <c r="A240" s="50">
        <v>45856</v>
      </c>
      <c r="B240" s="51">
        <v>0.753912037037037</v>
      </c>
      <c r="C240" t="s">
        <v>151</v>
      </c>
      <c r="D240" t="s">
        <v>160</v>
      </c>
      <c r="E240" t="s">
        <v>47</v>
      </c>
      <c r="F240" t="s">
        <v>7</v>
      </c>
      <c r="G240">
        <v>50000</v>
      </c>
      <c r="H240" t="s">
        <v>147</v>
      </c>
      <c r="I240" t="s">
        <v>57</v>
      </c>
    </row>
    <row r="241" spans="1:9">
      <c r="A241" s="50">
        <v>45856</v>
      </c>
      <c r="B241" s="51">
        <v>0.7371643518518518</v>
      </c>
      <c r="C241" t="s">
        <v>145</v>
      </c>
      <c r="D241" t="s">
        <v>34</v>
      </c>
      <c r="E241" t="s">
        <v>47</v>
      </c>
      <c r="F241" t="s">
        <v>146</v>
      </c>
      <c r="G241">
        <v>-1850</v>
      </c>
      <c r="H241" t="s">
        <v>147</v>
      </c>
      <c r="I241" t="s">
        <v>148</v>
      </c>
    </row>
    <row r="242" spans="1:9">
      <c r="A242" s="50">
        <v>45856</v>
      </c>
      <c r="B242" s="51">
        <v>0.7207523148148148</v>
      </c>
      <c r="C242" t="s">
        <v>145</v>
      </c>
      <c r="D242" t="s">
        <v>42</v>
      </c>
      <c r="E242" t="s">
        <v>47</v>
      </c>
      <c r="F242" t="s">
        <v>170</v>
      </c>
      <c r="G242">
        <v>-18400</v>
      </c>
      <c r="H242" t="s">
        <v>147</v>
      </c>
      <c r="I242" t="s">
        <v>148</v>
      </c>
    </row>
    <row r="243" spans="1:9">
      <c r="A243" s="50">
        <v>45856</v>
      </c>
      <c r="B243" s="51">
        <v>0.5698726851851852</v>
      </c>
      <c r="C243" t="s">
        <v>151</v>
      </c>
      <c r="D243" t="s">
        <v>151</v>
      </c>
      <c r="E243" t="s">
        <v>47</v>
      </c>
      <c r="F243" t="s">
        <v>252</v>
      </c>
      <c r="G243">
        <v>50000</v>
      </c>
      <c r="H243" t="s">
        <v>147</v>
      </c>
      <c r="I243" t="s">
        <v>162</v>
      </c>
    </row>
    <row r="244" spans="1:9">
      <c r="A244" s="50">
        <v>45856</v>
      </c>
      <c r="B244" s="51">
        <v>0.5639583333333333</v>
      </c>
      <c r="C244" t="s">
        <v>151</v>
      </c>
      <c r="D244" t="s">
        <v>160</v>
      </c>
      <c r="E244" t="s">
        <v>47</v>
      </c>
      <c r="F244" t="s">
        <v>7</v>
      </c>
      <c r="G244">
        <v>-500000</v>
      </c>
      <c r="H244" t="s">
        <v>147</v>
      </c>
      <c r="I244" t="s">
        <v>61</v>
      </c>
    </row>
    <row r="245" spans="1:9">
      <c r="A245" s="50">
        <v>45856</v>
      </c>
      <c r="B245" s="51">
        <v>0.2891435185185185</v>
      </c>
      <c r="C245" t="s">
        <v>145</v>
      </c>
      <c r="D245" t="s">
        <v>34</v>
      </c>
      <c r="E245" t="s">
        <v>47</v>
      </c>
      <c r="F245" t="s">
        <v>146</v>
      </c>
      <c r="G245">
        <v>-1850</v>
      </c>
      <c r="H245" t="s">
        <v>147</v>
      </c>
      <c r="I245" t="s">
        <v>148</v>
      </c>
    </row>
    <row r="246" spans="1:9">
      <c r="A246" s="50">
        <v>45855</v>
      </c>
      <c r="B246" s="51">
        <v>0.8002430555555555</v>
      </c>
      <c r="C246" t="s">
        <v>145</v>
      </c>
      <c r="D246" t="s">
        <v>42</v>
      </c>
      <c r="E246" t="s">
        <v>47</v>
      </c>
      <c r="F246" t="s">
        <v>253</v>
      </c>
      <c r="G246">
        <v>-31500</v>
      </c>
      <c r="H246" t="s">
        <v>147</v>
      </c>
      <c r="I246" t="s">
        <v>148</v>
      </c>
    </row>
    <row r="247" spans="1:9">
      <c r="A247" s="50">
        <v>45855</v>
      </c>
      <c r="B247" s="51">
        <v>0.7363888888888889</v>
      </c>
      <c r="C247" t="s">
        <v>145</v>
      </c>
      <c r="D247" t="s">
        <v>34</v>
      </c>
      <c r="E247" t="s">
        <v>47</v>
      </c>
      <c r="F247" t="s">
        <v>146</v>
      </c>
      <c r="G247">
        <v>-1850</v>
      </c>
      <c r="H247" t="s">
        <v>147</v>
      </c>
      <c r="I247" t="s">
        <v>148</v>
      </c>
    </row>
    <row r="248" spans="1:9">
      <c r="A248" s="50">
        <v>45855</v>
      </c>
      <c r="B248" s="51">
        <v>0.4547222222222222</v>
      </c>
      <c r="C248" t="s">
        <v>145</v>
      </c>
      <c r="D248" t="s">
        <v>42</v>
      </c>
      <c r="E248" t="s">
        <v>47</v>
      </c>
      <c r="F248" t="s">
        <v>223</v>
      </c>
      <c r="G248">
        <v>-7890</v>
      </c>
      <c r="H248" t="s">
        <v>147</v>
      </c>
      <c r="I248" t="s">
        <v>148</v>
      </c>
    </row>
    <row r="249" spans="1:9">
      <c r="A249" s="50">
        <v>45855</v>
      </c>
      <c r="B249" s="51">
        <v>0.2941666666666667</v>
      </c>
      <c r="C249" t="s">
        <v>145</v>
      </c>
      <c r="D249" t="s">
        <v>34</v>
      </c>
      <c r="E249" t="s">
        <v>47</v>
      </c>
      <c r="F249" t="s">
        <v>146</v>
      </c>
      <c r="G249">
        <v>-1850</v>
      </c>
      <c r="H249" t="s">
        <v>147</v>
      </c>
      <c r="I249" t="s">
        <v>148</v>
      </c>
    </row>
    <row r="250" spans="1:9">
      <c r="A250" s="50">
        <v>45854</v>
      </c>
      <c r="B250" s="51">
        <v>0.7989120370370371</v>
      </c>
      <c r="C250" t="s">
        <v>145</v>
      </c>
      <c r="D250" t="s">
        <v>42</v>
      </c>
      <c r="E250" t="s">
        <v>47</v>
      </c>
      <c r="F250" t="s">
        <v>253</v>
      </c>
      <c r="G250">
        <v>-15500</v>
      </c>
      <c r="H250" t="s">
        <v>147</v>
      </c>
      <c r="I250" t="s">
        <v>148</v>
      </c>
    </row>
    <row r="251" spans="1:9">
      <c r="A251" s="50">
        <v>45854</v>
      </c>
      <c r="B251" s="51">
        <v>0.7834027777777778</v>
      </c>
      <c r="C251" t="s">
        <v>145</v>
      </c>
      <c r="D251" t="s">
        <v>38</v>
      </c>
      <c r="E251" t="s">
        <v>47</v>
      </c>
      <c r="F251" t="s">
        <v>155</v>
      </c>
      <c r="G251">
        <v>-7470</v>
      </c>
      <c r="H251" t="s">
        <v>147</v>
      </c>
      <c r="I251" t="s">
        <v>148</v>
      </c>
    </row>
    <row r="252" spans="1:9">
      <c r="A252" s="50">
        <v>45854</v>
      </c>
      <c r="B252" s="51">
        <v>0.5625462962962963</v>
      </c>
      <c r="C252" t="s">
        <v>151</v>
      </c>
      <c r="D252" t="s">
        <v>160</v>
      </c>
      <c r="E252" t="s">
        <v>47</v>
      </c>
      <c r="F252" t="s">
        <v>163</v>
      </c>
      <c r="G252">
        <v>-10000</v>
      </c>
      <c r="H252" t="s">
        <v>147</v>
      </c>
      <c r="I252" t="s">
        <v>57</v>
      </c>
    </row>
    <row r="253" spans="1:9">
      <c r="A253" s="50">
        <v>45854</v>
      </c>
      <c r="B253" s="51">
        <v>0.5625347222222222</v>
      </c>
      <c r="C253" t="s">
        <v>145</v>
      </c>
      <c r="D253" t="s">
        <v>42</v>
      </c>
      <c r="E253" t="s">
        <v>47</v>
      </c>
      <c r="F253" t="s">
        <v>224</v>
      </c>
      <c r="G253">
        <v>-14900</v>
      </c>
      <c r="H253" t="s">
        <v>147</v>
      </c>
      <c r="I253" t="s">
        <v>154</v>
      </c>
    </row>
    <row r="254" spans="1:9">
      <c r="A254" s="50">
        <v>45854</v>
      </c>
      <c r="B254" s="51">
        <v>0.5625347222222222</v>
      </c>
      <c r="C254" t="s">
        <v>151</v>
      </c>
      <c r="D254" t="s">
        <v>160</v>
      </c>
      <c r="E254" t="s">
        <v>47</v>
      </c>
      <c r="F254" t="s">
        <v>161</v>
      </c>
      <c r="G254">
        <v>10000</v>
      </c>
      <c r="H254" t="s">
        <v>147</v>
      </c>
      <c r="I254" t="s">
        <v>162</v>
      </c>
    </row>
    <row r="255" spans="1:9">
      <c r="A255" s="50">
        <v>45854</v>
      </c>
      <c r="B255" s="51">
        <v>0.2868981481481481</v>
      </c>
      <c r="C255" t="s">
        <v>145</v>
      </c>
      <c r="D255" t="s">
        <v>34</v>
      </c>
      <c r="E255" t="s">
        <v>47</v>
      </c>
      <c r="F255" t="s">
        <v>146</v>
      </c>
      <c r="G255">
        <v>-1850</v>
      </c>
      <c r="H255" t="s">
        <v>147</v>
      </c>
      <c r="I255" t="s">
        <v>148</v>
      </c>
    </row>
    <row r="256" spans="1:9">
      <c r="A256" s="50">
        <v>45853</v>
      </c>
      <c r="B256" s="51">
        <v>0.7353125</v>
      </c>
      <c r="C256" t="s">
        <v>145</v>
      </c>
      <c r="D256" t="s">
        <v>34</v>
      </c>
      <c r="E256" t="s">
        <v>47</v>
      </c>
      <c r="F256" t="s">
        <v>146</v>
      </c>
      <c r="G256">
        <v>-1850</v>
      </c>
      <c r="H256" t="s">
        <v>147</v>
      </c>
      <c r="I256" t="s">
        <v>148</v>
      </c>
    </row>
    <row r="257" spans="1:9">
      <c r="A257" s="50">
        <v>45853</v>
      </c>
      <c r="B257" s="51">
        <v>0.7258101851851851</v>
      </c>
      <c r="C257" t="s">
        <v>145</v>
      </c>
      <c r="D257" t="s">
        <v>38</v>
      </c>
      <c r="E257" t="s">
        <v>47</v>
      </c>
      <c r="F257" t="s">
        <v>201</v>
      </c>
      <c r="G257">
        <v>-18500</v>
      </c>
      <c r="H257" t="s">
        <v>147</v>
      </c>
      <c r="I257" t="s">
        <v>148</v>
      </c>
    </row>
    <row r="258" spans="1:9">
      <c r="A258" s="50">
        <v>45853</v>
      </c>
      <c r="B258" s="51">
        <v>0.2865393518518519</v>
      </c>
      <c r="C258" t="s">
        <v>145</v>
      </c>
      <c r="D258" t="s">
        <v>34</v>
      </c>
      <c r="E258" t="s">
        <v>47</v>
      </c>
      <c r="F258" t="s">
        <v>146</v>
      </c>
      <c r="G258">
        <v>-1850</v>
      </c>
      <c r="H258" t="s">
        <v>147</v>
      </c>
      <c r="I258" t="s">
        <v>148</v>
      </c>
    </row>
    <row r="259" spans="1:9">
      <c r="A259" s="50">
        <v>45853</v>
      </c>
      <c r="B259" s="51">
        <v>0.04711805555555556</v>
      </c>
      <c r="C259" t="s">
        <v>145</v>
      </c>
      <c r="D259" t="s">
        <v>42</v>
      </c>
      <c r="E259" t="s">
        <v>47</v>
      </c>
      <c r="F259" t="s">
        <v>225</v>
      </c>
      <c r="G259">
        <v>-1990</v>
      </c>
      <c r="H259" t="s">
        <v>147</v>
      </c>
      <c r="I259" t="s">
        <v>154</v>
      </c>
    </row>
    <row r="260" spans="1:9">
      <c r="A260" s="50">
        <v>45852</v>
      </c>
      <c r="B260" s="51">
        <v>0.7660300925925926</v>
      </c>
      <c r="C260" t="s">
        <v>145</v>
      </c>
      <c r="D260" t="s">
        <v>35</v>
      </c>
      <c r="E260" t="s">
        <v>204</v>
      </c>
      <c r="F260" t="s">
        <v>254</v>
      </c>
      <c r="G260">
        <v>-10000</v>
      </c>
      <c r="H260" t="s">
        <v>147</v>
      </c>
      <c r="I260" t="s">
        <v>57</v>
      </c>
    </row>
    <row r="261" spans="1:9">
      <c r="A261" s="50">
        <v>45852</v>
      </c>
      <c r="B261" s="51">
        <v>0.1303356481481482</v>
      </c>
      <c r="C261" t="s">
        <v>145</v>
      </c>
      <c r="D261" t="s">
        <v>35</v>
      </c>
      <c r="E261" t="s">
        <v>207</v>
      </c>
      <c r="F261" t="s">
        <v>234</v>
      </c>
      <c r="G261">
        <v>-131931</v>
      </c>
      <c r="H261" t="s">
        <v>147</v>
      </c>
      <c r="I261" t="s">
        <v>57</v>
      </c>
    </row>
    <row r="262" spans="1:9">
      <c r="A262" s="50">
        <v>45852</v>
      </c>
      <c r="B262" s="51">
        <v>0.1281134259259259</v>
      </c>
      <c r="C262" t="s">
        <v>151</v>
      </c>
      <c r="D262" t="s">
        <v>151</v>
      </c>
      <c r="E262" t="s">
        <v>47</v>
      </c>
      <c r="F262" t="s">
        <v>234</v>
      </c>
      <c r="G262">
        <v>-197506</v>
      </c>
      <c r="H262" t="s">
        <v>147</v>
      </c>
      <c r="I262" t="s">
        <v>61</v>
      </c>
    </row>
    <row r="263" spans="1:9">
      <c r="A263" s="50">
        <v>45852</v>
      </c>
      <c r="B263" s="51">
        <v>0</v>
      </c>
      <c r="C263" t="s">
        <v>145</v>
      </c>
      <c r="D263" t="s">
        <v>47</v>
      </c>
      <c r="E263" t="s">
        <v>47</v>
      </c>
      <c r="F263" t="s">
        <v>255</v>
      </c>
      <c r="G263">
        <v>-8000</v>
      </c>
      <c r="H263" t="s">
        <v>147</v>
      </c>
      <c r="I263" t="s">
        <v>148</v>
      </c>
    </row>
    <row r="264" spans="1:9">
      <c r="A264" s="50">
        <v>45850</v>
      </c>
      <c r="B264" s="51">
        <v>0.8228240740740741</v>
      </c>
      <c r="C264" t="s">
        <v>145</v>
      </c>
      <c r="D264" t="s">
        <v>43</v>
      </c>
      <c r="E264" t="s">
        <v>47</v>
      </c>
      <c r="F264" t="s">
        <v>256</v>
      </c>
      <c r="G264">
        <v>-10500</v>
      </c>
      <c r="H264" t="s">
        <v>147</v>
      </c>
      <c r="I264" t="s">
        <v>165</v>
      </c>
    </row>
    <row r="265" spans="1:9">
      <c r="A265" s="50">
        <v>45850</v>
      </c>
      <c r="B265" s="51">
        <v>0.7331597222222223</v>
      </c>
      <c r="C265" t="s">
        <v>145</v>
      </c>
      <c r="D265" t="s">
        <v>34</v>
      </c>
      <c r="E265" t="s">
        <v>47</v>
      </c>
      <c r="F265" t="s">
        <v>146</v>
      </c>
      <c r="G265">
        <v>-1550</v>
      </c>
      <c r="H265" t="s">
        <v>147</v>
      </c>
      <c r="I265" t="s">
        <v>148</v>
      </c>
    </row>
    <row r="266" spans="1:9">
      <c r="A266" s="50">
        <v>45850</v>
      </c>
      <c r="B266" s="51">
        <v>0.7256944444444444</v>
      </c>
      <c r="C266" t="s">
        <v>145</v>
      </c>
      <c r="D266" t="s">
        <v>45</v>
      </c>
      <c r="E266" t="s">
        <v>47</v>
      </c>
      <c r="F266" t="s">
        <v>257</v>
      </c>
      <c r="G266">
        <v>-82500</v>
      </c>
      <c r="H266" t="s">
        <v>147</v>
      </c>
      <c r="I266" t="s">
        <v>165</v>
      </c>
    </row>
    <row r="267" spans="1:9">
      <c r="A267" s="50">
        <v>45850</v>
      </c>
      <c r="B267" s="51">
        <v>0.7219444444444445</v>
      </c>
      <c r="C267" t="s">
        <v>145</v>
      </c>
      <c r="D267" t="s">
        <v>38</v>
      </c>
      <c r="E267" t="s">
        <v>47</v>
      </c>
      <c r="F267" t="s">
        <v>258</v>
      </c>
      <c r="G267">
        <v>-2500</v>
      </c>
      <c r="H267" t="s">
        <v>147</v>
      </c>
      <c r="I267" t="s">
        <v>148</v>
      </c>
    </row>
    <row r="268" spans="1:9">
      <c r="A268" s="50">
        <v>45850</v>
      </c>
      <c r="B268" s="51">
        <v>0.7205439814814815</v>
      </c>
      <c r="C268" t="s">
        <v>145</v>
      </c>
      <c r="D268" t="s">
        <v>45</v>
      </c>
      <c r="E268" t="s">
        <v>47</v>
      </c>
      <c r="F268" t="s">
        <v>257</v>
      </c>
      <c r="G268">
        <v>-10800</v>
      </c>
      <c r="H268" t="s">
        <v>147</v>
      </c>
      <c r="I268" t="s">
        <v>148</v>
      </c>
    </row>
    <row r="269" spans="1:9">
      <c r="A269" s="50">
        <v>45850</v>
      </c>
      <c r="B269" s="51">
        <v>0.7167824074074074</v>
      </c>
      <c r="C269" t="s">
        <v>145</v>
      </c>
      <c r="D269" t="s">
        <v>45</v>
      </c>
      <c r="E269" t="s">
        <v>47</v>
      </c>
      <c r="F269" t="s">
        <v>257</v>
      </c>
      <c r="G269">
        <v>-20800</v>
      </c>
      <c r="H269" t="s">
        <v>147</v>
      </c>
      <c r="I269" t="s">
        <v>165</v>
      </c>
    </row>
    <row r="270" spans="1:9">
      <c r="A270" s="50">
        <v>45850</v>
      </c>
      <c r="B270" s="51">
        <v>0.5949537037037037</v>
      </c>
      <c r="C270" t="s">
        <v>145</v>
      </c>
      <c r="D270" t="s">
        <v>38</v>
      </c>
      <c r="E270" t="s">
        <v>47</v>
      </c>
      <c r="F270" t="s">
        <v>259</v>
      </c>
      <c r="G270">
        <v>-7000</v>
      </c>
      <c r="H270" t="s">
        <v>147</v>
      </c>
      <c r="I270" t="s">
        <v>165</v>
      </c>
    </row>
    <row r="271" spans="1:9">
      <c r="A271" s="50">
        <v>45850</v>
      </c>
      <c r="B271" s="51">
        <v>0.577025462962963</v>
      </c>
      <c r="C271" t="s">
        <v>145</v>
      </c>
      <c r="D271" t="s">
        <v>46</v>
      </c>
      <c r="E271" t="s">
        <v>47</v>
      </c>
      <c r="F271" t="s">
        <v>260</v>
      </c>
      <c r="G271">
        <v>-45000</v>
      </c>
      <c r="H271" t="s">
        <v>147</v>
      </c>
      <c r="I271" t="s">
        <v>148</v>
      </c>
    </row>
    <row r="272" spans="1:9">
      <c r="A272" s="50">
        <v>45850</v>
      </c>
      <c r="B272" s="51">
        <v>0.5397916666666667</v>
      </c>
      <c r="C272" t="s">
        <v>145</v>
      </c>
      <c r="D272" t="s">
        <v>46</v>
      </c>
      <c r="E272" t="s">
        <v>47</v>
      </c>
      <c r="F272" t="s">
        <v>261</v>
      </c>
      <c r="G272">
        <v>-16000</v>
      </c>
      <c r="H272" t="s">
        <v>147</v>
      </c>
      <c r="I272" t="s">
        <v>165</v>
      </c>
    </row>
    <row r="273" spans="1:9">
      <c r="A273" s="50">
        <v>45850</v>
      </c>
      <c r="B273" s="51">
        <v>0.4735532407407407</v>
      </c>
      <c r="C273" t="s">
        <v>145</v>
      </c>
      <c r="D273" t="s">
        <v>36</v>
      </c>
      <c r="E273" t="s">
        <v>47</v>
      </c>
      <c r="F273" t="s">
        <v>262</v>
      </c>
      <c r="G273">
        <v>-231000</v>
      </c>
      <c r="H273" t="s">
        <v>147</v>
      </c>
      <c r="I273" t="s">
        <v>165</v>
      </c>
    </row>
    <row r="274" spans="1:9">
      <c r="A274" s="50">
        <v>45850</v>
      </c>
      <c r="B274" s="51">
        <v>0.2945949074074074</v>
      </c>
      <c r="C274" t="s">
        <v>145</v>
      </c>
      <c r="D274" t="s">
        <v>34</v>
      </c>
      <c r="E274" t="s">
        <v>47</v>
      </c>
      <c r="F274" t="s">
        <v>146</v>
      </c>
      <c r="G274">
        <v>-1850</v>
      </c>
      <c r="H274" t="s">
        <v>147</v>
      </c>
      <c r="I274" t="s">
        <v>148</v>
      </c>
    </row>
    <row r="275" spans="1:9">
      <c r="A275" s="50">
        <v>45849</v>
      </c>
      <c r="B275" s="51">
        <v>0.9120717592592592</v>
      </c>
      <c r="C275" t="s">
        <v>151</v>
      </c>
      <c r="D275" t="s">
        <v>160</v>
      </c>
      <c r="E275" t="s">
        <v>47</v>
      </c>
      <c r="F275" t="s">
        <v>161</v>
      </c>
      <c r="G275">
        <v>-100000</v>
      </c>
      <c r="H275" t="s">
        <v>147</v>
      </c>
      <c r="I275" t="s">
        <v>162</v>
      </c>
    </row>
    <row r="276" spans="1:9">
      <c r="A276" s="50">
        <v>45849</v>
      </c>
      <c r="B276" s="51">
        <v>0.9120717592592592</v>
      </c>
      <c r="C276" t="s">
        <v>151</v>
      </c>
      <c r="D276" t="s">
        <v>160</v>
      </c>
      <c r="E276" t="s">
        <v>47</v>
      </c>
      <c r="F276" t="s">
        <v>7</v>
      </c>
      <c r="G276">
        <v>100000</v>
      </c>
      <c r="H276" t="s">
        <v>147</v>
      </c>
      <c r="I276" t="s">
        <v>57</v>
      </c>
    </row>
    <row r="277" spans="1:9">
      <c r="A277" s="50">
        <v>45849</v>
      </c>
      <c r="B277" s="51">
        <v>0.9118287037037037</v>
      </c>
      <c r="C277" t="s">
        <v>151</v>
      </c>
      <c r="D277" t="s">
        <v>151</v>
      </c>
      <c r="E277" t="s">
        <v>47</v>
      </c>
      <c r="F277" t="s">
        <v>263</v>
      </c>
      <c r="G277">
        <v>56000</v>
      </c>
      <c r="H277" t="s">
        <v>147</v>
      </c>
      <c r="I277" t="s">
        <v>162</v>
      </c>
    </row>
    <row r="278" spans="1:9">
      <c r="A278" s="50">
        <v>45849</v>
      </c>
      <c r="B278" s="51">
        <v>0.9108333333333334</v>
      </c>
      <c r="C278" t="s">
        <v>151</v>
      </c>
      <c r="D278" t="s">
        <v>151</v>
      </c>
      <c r="E278" t="s">
        <v>47</v>
      </c>
      <c r="F278" t="s">
        <v>264</v>
      </c>
      <c r="G278">
        <v>56000</v>
      </c>
      <c r="H278" t="s">
        <v>147</v>
      </c>
      <c r="I278" t="s">
        <v>162</v>
      </c>
    </row>
    <row r="279" spans="1:9">
      <c r="A279" s="50">
        <v>45849</v>
      </c>
      <c r="B279" s="51">
        <v>0.9000462962962963</v>
      </c>
      <c r="C279" t="s">
        <v>145</v>
      </c>
      <c r="D279" t="s">
        <v>34</v>
      </c>
      <c r="E279" t="s">
        <v>47</v>
      </c>
      <c r="F279" t="s">
        <v>265</v>
      </c>
      <c r="G279">
        <v>-12000</v>
      </c>
      <c r="H279" t="s">
        <v>147</v>
      </c>
      <c r="I279" t="s">
        <v>165</v>
      </c>
    </row>
    <row r="280" spans="1:9">
      <c r="A280" s="50">
        <v>45849</v>
      </c>
      <c r="B280" s="51">
        <v>0.8910416666666666</v>
      </c>
      <c r="C280" t="s">
        <v>145</v>
      </c>
      <c r="D280" t="s">
        <v>40</v>
      </c>
      <c r="E280" t="s">
        <v>47</v>
      </c>
      <c r="F280" t="s">
        <v>266</v>
      </c>
      <c r="G280">
        <v>-108000</v>
      </c>
      <c r="H280" t="s">
        <v>147</v>
      </c>
      <c r="I280" t="s">
        <v>148</v>
      </c>
    </row>
    <row r="281" spans="1:9">
      <c r="A281" s="50">
        <v>45849</v>
      </c>
      <c r="B281" s="51">
        <v>0.7583449074074075</v>
      </c>
      <c r="C281" t="s">
        <v>145</v>
      </c>
      <c r="D281" t="s">
        <v>36</v>
      </c>
      <c r="E281" t="s">
        <v>47</v>
      </c>
      <c r="F281" t="s">
        <v>267</v>
      </c>
      <c r="G281">
        <v>-116000</v>
      </c>
      <c r="H281" t="s">
        <v>147</v>
      </c>
      <c r="I281" t="s">
        <v>148</v>
      </c>
    </row>
    <row r="282" spans="1:9">
      <c r="A282" s="50">
        <v>45849</v>
      </c>
      <c r="B282" s="51">
        <v>0.7364699074074074</v>
      </c>
      <c r="C282" t="s">
        <v>145</v>
      </c>
      <c r="D282" t="s">
        <v>34</v>
      </c>
      <c r="E282" t="s">
        <v>47</v>
      </c>
      <c r="F282" t="s">
        <v>146</v>
      </c>
      <c r="G282">
        <v>-1850</v>
      </c>
      <c r="H282" t="s">
        <v>147</v>
      </c>
      <c r="I282" t="s">
        <v>148</v>
      </c>
    </row>
    <row r="283" spans="1:9">
      <c r="A283" s="50">
        <v>45849</v>
      </c>
      <c r="B283" s="51">
        <v>0.3816203703703704</v>
      </c>
      <c r="C283" t="s">
        <v>151</v>
      </c>
      <c r="D283" t="s">
        <v>160</v>
      </c>
      <c r="E283" t="s">
        <v>47</v>
      </c>
      <c r="F283" t="s">
        <v>7</v>
      </c>
      <c r="G283">
        <v>-100000</v>
      </c>
      <c r="H283" t="s">
        <v>147</v>
      </c>
      <c r="I283" t="s">
        <v>57</v>
      </c>
    </row>
    <row r="284" spans="1:9">
      <c r="A284" s="50">
        <v>45849</v>
      </c>
      <c r="B284" s="51">
        <v>0.3791666666666667</v>
      </c>
      <c r="C284" t="s">
        <v>145</v>
      </c>
      <c r="D284" t="s">
        <v>42</v>
      </c>
      <c r="E284" t="s">
        <v>47</v>
      </c>
      <c r="F284" t="s">
        <v>229</v>
      </c>
      <c r="G284">
        <v>-400000</v>
      </c>
      <c r="H284" t="s">
        <v>147</v>
      </c>
      <c r="I284" t="s">
        <v>57</v>
      </c>
    </row>
    <row r="285" spans="1:9">
      <c r="A285" s="50">
        <v>45849</v>
      </c>
      <c r="B285" s="51">
        <v>0.3775347222222222</v>
      </c>
      <c r="C285" t="s">
        <v>151</v>
      </c>
      <c r="D285" t="s">
        <v>160</v>
      </c>
      <c r="E285" t="s">
        <v>47</v>
      </c>
      <c r="F285" t="s">
        <v>7</v>
      </c>
      <c r="G285">
        <v>1000000</v>
      </c>
      <c r="H285" t="s">
        <v>147</v>
      </c>
      <c r="I285" t="s">
        <v>61</v>
      </c>
    </row>
    <row r="286" spans="1:9">
      <c r="A286" s="50">
        <v>45849</v>
      </c>
      <c r="B286" s="51">
        <v>0.3775347222222222</v>
      </c>
      <c r="C286" t="s">
        <v>151</v>
      </c>
      <c r="D286" t="s">
        <v>160</v>
      </c>
      <c r="E286" t="s">
        <v>47</v>
      </c>
      <c r="F286" t="s">
        <v>7</v>
      </c>
      <c r="G286">
        <v>-1000000</v>
      </c>
      <c r="H286" t="s">
        <v>147</v>
      </c>
      <c r="I286" t="s">
        <v>57</v>
      </c>
    </row>
    <row r="287" spans="1:9">
      <c r="A287" s="50">
        <v>45849</v>
      </c>
      <c r="B287" s="51">
        <v>0.3648842592592593</v>
      </c>
      <c r="C287" t="s">
        <v>151</v>
      </c>
      <c r="D287" t="s">
        <v>198</v>
      </c>
      <c r="E287" t="s">
        <v>47</v>
      </c>
      <c r="F287" t="s">
        <v>213</v>
      </c>
      <c r="G287">
        <v>1893930</v>
      </c>
      <c r="H287" t="s">
        <v>147</v>
      </c>
      <c r="I287" t="s">
        <v>57</v>
      </c>
    </row>
    <row r="288" spans="1:9">
      <c r="A288" s="50">
        <v>45849</v>
      </c>
      <c r="B288" s="51">
        <v>0.3336458333333333</v>
      </c>
      <c r="C288" t="s">
        <v>145</v>
      </c>
      <c r="D288" t="s">
        <v>38</v>
      </c>
      <c r="E288" t="s">
        <v>47</v>
      </c>
      <c r="F288" t="s">
        <v>268</v>
      </c>
      <c r="G288">
        <v>-5800</v>
      </c>
      <c r="H288" t="s">
        <v>147</v>
      </c>
      <c r="I288" t="s">
        <v>148</v>
      </c>
    </row>
    <row r="289" spans="1:9">
      <c r="A289" s="50">
        <v>45849</v>
      </c>
      <c r="B289" s="51">
        <v>0.2868402777777778</v>
      </c>
      <c r="C289" t="s">
        <v>145</v>
      </c>
      <c r="D289" t="s">
        <v>34</v>
      </c>
      <c r="E289" t="s">
        <v>47</v>
      </c>
      <c r="F289" t="s">
        <v>146</v>
      </c>
      <c r="G289">
        <v>-1850</v>
      </c>
      <c r="H289" t="s">
        <v>147</v>
      </c>
      <c r="I289" t="s">
        <v>148</v>
      </c>
    </row>
    <row r="290" spans="1:9">
      <c r="A290" s="50">
        <v>45848</v>
      </c>
      <c r="B290" s="51">
        <v>0.9616898148148149</v>
      </c>
      <c r="C290" t="s">
        <v>145</v>
      </c>
      <c r="D290" t="s">
        <v>42</v>
      </c>
      <c r="E290" t="s">
        <v>47</v>
      </c>
      <c r="F290" t="s">
        <v>158</v>
      </c>
      <c r="G290">
        <v>-20000</v>
      </c>
      <c r="H290" t="s">
        <v>147</v>
      </c>
      <c r="I290" t="s">
        <v>57</v>
      </c>
    </row>
    <row r="291" spans="1:9">
      <c r="A291" s="50">
        <v>45848</v>
      </c>
      <c r="B291" s="51">
        <v>0.7828703703703703</v>
      </c>
      <c r="C291" t="s">
        <v>145</v>
      </c>
      <c r="D291" t="s">
        <v>38</v>
      </c>
      <c r="E291" t="s">
        <v>47</v>
      </c>
      <c r="F291" t="s">
        <v>218</v>
      </c>
      <c r="G291">
        <v>-27270</v>
      </c>
      <c r="H291" t="s">
        <v>147</v>
      </c>
      <c r="I291" t="s">
        <v>148</v>
      </c>
    </row>
    <row r="292" spans="1:9">
      <c r="A292" s="50">
        <v>45848</v>
      </c>
      <c r="B292" s="51">
        <v>0.7784953703703704</v>
      </c>
      <c r="C292" t="s">
        <v>145</v>
      </c>
      <c r="D292" t="s">
        <v>32</v>
      </c>
      <c r="E292" t="s">
        <v>47</v>
      </c>
      <c r="F292" t="s">
        <v>230</v>
      </c>
      <c r="G292">
        <v>-30000</v>
      </c>
      <c r="H292" t="s">
        <v>147</v>
      </c>
      <c r="I292" t="s">
        <v>57</v>
      </c>
    </row>
    <row r="293" spans="1:9">
      <c r="A293" s="50">
        <v>45848</v>
      </c>
      <c r="B293" s="51">
        <v>0.7353819444444445</v>
      </c>
      <c r="C293" t="s">
        <v>145</v>
      </c>
      <c r="D293" t="s">
        <v>34</v>
      </c>
      <c r="E293" t="s">
        <v>47</v>
      </c>
      <c r="F293" t="s">
        <v>146</v>
      </c>
      <c r="G293">
        <v>-1850</v>
      </c>
      <c r="H293" t="s">
        <v>147</v>
      </c>
      <c r="I293" t="s">
        <v>148</v>
      </c>
    </row>
    <row r="294" spans="1:9">
      <c r="A294" s="50">
        <v>45848</v>
      </c>
      <c r="B294" s="51">
        <v>0.7171296296296297</v>
      </c>
      <c r="C294" t="s">
        <v>149</v>
      </c>
      <c r="D294" t="s">
        <v>28</v>
      </c>
      <c r="E294" t="s">
        <v>47</v>
      </c>
      <c r="F294" t="s">
        <v>269</v>
      </c>
      <c r="G294">
        <v>60000</v>
      </c>
      <c r="H294" t="s">
        <v>147</v>
      </c>
      <c r="I294" t="s">
        <v>57</v>
      </c>
    </row>
    <row r="295" spans="1:9">
      <c r="A295" s="50">
        <v>45848</v>
      </c>
      <c r="B295" s="51">
        <v>0.6186805555555556</v>
      </c>
      <c r="C295" t="s">
        <v>151</v>
      </c>
      <c r="D295" t="s">
        <v>151</v>
      </c>
      <c r="E295" t="s">
        <v>47</v>
      </c>
      <c r="F295" t="s">
        <v>163</v>
      </c>
      <c r="G295">
        <v>-200000</v>
      </c>
      <c r="H295" t="s">
        <v>147</v>
      </c>
      <c r="I295" t="s">
        <v>57</v>
      </c>
    </row>
    <row r="296" spans="1:9">
      <c r="A296" s="50">
        <v>45848</v>
      </c>
      <c r="B296" s="51">
        <v>0.2916319444444445</v>
      </c>
      <c r="C296" t="s">
        <v>145</v>
      </c>
      <c r="D296" t="s">
        <v>34</v>
      </c>
      <c r="E296" t="s">
        <v>47</v>
      </c>
      <c r="F296" t="s">
        <v>146</v>
      </c>
      <c r="G296">
        <v>-1850</v>
      </c>
      <c r="H296" t="s">
        <v>147</v>
      </c>
      <c r="I296" t="s">
        <v>148</v>
      </c>
    </row>
    <row r="297" spans="1:9">
      <c r="A297" s="50">
        <v>45847</v>
      </c>
      <c r="B297" s="51">
        <v>0.7642013888888889</v>
      </c>
      <c r="C297" t="s">
        <v>145</v>
      </c>
      <c r="D297" t="s">
        <v>34</v>
      </c>
      <c r="E297" t="s">
        <v>47</v>
      </c>
      <c r="F297" t="s">
        <v>146</v>
      </c>
      <c r="G297">
        <v>-1850</v>
      </c>
      <c r="H297" t="s">
        <v>147</v>
      </c>
      <c r="I297" t="s">
        <v>148</v>
      </c>
    </row>
    <row r="298" spans="1:9">
      <c r="A298" s="50">
        <v>45847</v>
      </c>
      <c r="B298" s="51">
        <v>0.4766666666666667</v>
      </c>
      <c r="C298" t="s">
        <v>149</v>
      </c>
      <c r="D298" t="s">
        <v>28</v>
      </c>
      <c r="E298" t="s">
        <v>47</v>
      </c>
      <c r="F298" t="s">
        <v>150</v>
      </c>
      <c r="G298">
        <v>2000</v>
      </c>
      <c r="H298" t="s">
        <v>147</v>
      </c>
      <c r="I298" t="s">
        <v>57</v>
      </c>
    </row>
    <row r="299" spans="1:9">
      <c r="A299" s="50">
        <v>45847</v>
      </c>
      <c r="B299" s="51">
        <v>0.3336226851851852</v>
      </c>
      <c r="C299" t="s">
        <v>145</v>
      </c>
      <c r="D299" t="s">
        <v>38</v>
      </c>
      <c r="E299" t="s">
        <v>47</v>
      </c>
      <c r="F299" t="s">
        <v>268</v>
      </c>
      <c r="G299">
        <v>-1400</v>
      </c>
      <c r="H299" t="s">
        <v>147</v>
      </c>
      <c r="I299" t="s">
        <v>148</v>
      </c>
    </row>
    <row r="300" spans="1:9">
      <c r="A300" s="50">
        <v>45847</v>
      </c>
      <c r="B300" s="51">
        <v>0.2927893518518518</v>
      </c>
      <c r="C300" t="s">
        <v>145</v>
      </c>
      <c r="D300" t="s">
        <v>34</v>
      </c>
      <c r="E300" t="s">
        <v>47</v>
      </c>
      <c r="F300" t="s">
        <v>146</v>
      </c>
      <c r="G300">
        <v>-1850</v>
      </c>
      <c r="H300" t="s">
        <v>147</v>
      </c>
      <c r="I300" t="s">
        <v>148</v>
      </c>
    </row>
    <row r="301" spans="1:9">
      <c r="A301" s="50">
        <v>45847</v>
      </c>
      <c r="B301" s="51">
        <v>0</v>
      </c>
      <c r="C301" t="s">
        <v>145</v>
      </c>
      <c r="D301" t="s">
        <v>42</v>
      </c>
      <c r="E301" t="s">
        <v>47</v>
      </c>
      <c r="F301" t="s">
        <v>270</v>
      </c>
      <c r="G301">
        <v>220000</v>
      </c>
      <c r="H301" t="s">
        <v>147</v>
      </c>
      <c r="I301" t="s">
        <v>148</v>
      </c>
    </row>
    <row r="302" spans="1:9">
      <c r="A302" s="50">
        <v>45846</v>
      </c>
      <c r="B302" s="51">
        <v>0.8060763888888889</v>
      </c>
      <c r="C302" t="s">
        <v>145</v>
      </c>
      <c r="D302" t="s">
        <v>43</v>
      </c>
      <c r="E302" t="s">
        <v>47</v>
      </c>
      <c r="F302" t="s">
        <v>271</v>
      </c>
      <c r="G302">
        <v>-6000</v>
      </c>
      <c r="H302" t="s">
        <v>147</v>
      </c>
      <c r="I302" t="s">
        <v>148</v>
      </c>
    </row>
    <row r="303" spans="1:9">
      <c r="A303" s="50">
        <v>45846</v>
      </c>
      <c r="B303" s="51">
        <v>0.7931365740740741</v>
      </c>
      <c r="C303" t="s">
        <v>145</v>
      </c>
      <c r="D303" t="s">
        <v>42</v>
      </c>
      <c r="E303" t="s">
        <v>47</v>
      </c>
      <c r="F303" t="s">
        <v>270</v>
      </c>
      <c r="G303">
        <v>220000</v>
      </c>
      <c r="H303" t="s">
        <v>147</v>
      </c>
      <c r="I303" t="s">
        <v>148</v>
      </c>
    </row>
    <row r="304" spans="1:9">
      <c r="A304" s="50">
        <v>45846</v>
      </c>
      <c r="B304" s="51">
        <v>0.6533217592592593</v>
      </c>
      <c r="C304" t="s">
        <v>145</v>
      </c>
      <c r="D304" t="s">
        <v>34</v>
      </c>
      <c r="E304" t="s">
        <v>47</v>
      </c>
      <c r="F304" t="s">
        <v>146</v>
      </c>
      <c r="G304">
        <v>-1850</v>
      </c>
      <c r="H304" t="s">
        <v>147</v>
      </c>
      <c r="I304" t="s">
        <v>148</v>
      </c>
    </row>
    <row r="305" spans="1:9">
      <c r="A305" s="50">
        <v>45846</v>
      </c>
      <c r="B305" s="51">
        <v>0.4126273148148148</v>
      </c>
      <c r="C305" t="s">
        <v>145</v>
      </c>
      <c r="D305" t="s">
        <v>42</v>
      </c>
      <c r="E305" t="s">
        <v>47</v>
      </c>
      <c r="F305" t="s">
        <v>153</v>
      </c>
      <c r="G305">
        <v>-50670</v>
      </c>
      <c r="H305" t="s">
        <v>147</v>
      </c>
      <c r="I305" t="s">
        <v>154</v>
      </c>
    </row>
    <row r="306" spans="1:9">
      <c r="A306" s="50">
        <v>45845</v>
      </c>
      <c r="B306" s="51">
        <v>0.7624652777777777</v>
      </c>
      <c r="C306" t="s">
        <v>145</v>
      </c>
      <c r="D306" t="s">
        <v>41</v>
      </c>
      <c r="E306" t="s">
        <v>47</v>
      </c>
      <c r="F306" t="s">
        <v>157</v>
      </c>
      <c r="G306">
        <v>-52890</v>
      </c>
      <c r="H306" t="s">
        <v>147</v>
      </c>
      <c r="I306" t="s">
        <v>57</v>
      </c>
    </row>
    <row r="307" spans="1:9">
      <c r="A307" s="50">
        <v>45845</v>
      </c>
      <c r="B307" s="51">
        <v>0.7043634259259259</v>
      </c>
      <c r="C307" t="s">
        <v>145</v>
      </c>
      <c r="D307" t="s">
        <v>38</v>
      </c>
      <c r="E307" t="s">
        <v>47</v>
      </c>
      <c r="F307" t="s">
        <v>155</v>
      </c>
      <c r="G307">
        <v>-7960</v>
      </c>
      <c r="H307" t="s">
        <v>147</v>
      </c>
      <c r="I307" t="s">
        <v>148</v>
      </c>
    </row>
    <row r="308" spans="1:9">
      <c r="A308" s="50">
        <v>45843</v>
      </c>
      <c r="B308" s="51">
        <v>0.7788541666666666</v>
      </c>
      <c r="C308" t="s">
        <v>145</v>
      </c>
      <c r="D308" t="s">
        <v>42</v>
      </c>
      <c r="E308" t="s">
        <v>47</v>
      </c>
      <c r="F308" t="s">
        <v>158</v>
      </c>
      <c r="G308">
        <v>-30000</v>
      </c>
      <c r="H308" t="s">
        <v>147</v>
      </c>
      <c r="I308" t="s">
        <v>57</v>
      </c>
    </row>
    <row r="309" spans="1:9">
      <c r="A309" s="50">
        <v>45843</v>
      </c>
      <c r="B309" s="51">
        <v>0.7398958333333333</v>
      </c>
      <c r="C309" t="s">
        <v>145</v>
      </c>
      <c r="D309" t="s">
        <v>34</v>
      </c>
      <c r="E309" t="s">
        <v>47</v>
      </c>
      <c r="F309" t="s">
        <v>146</v>
      </c>
      <c r="G309">
        <v>-1650</v>
      </c>
      <c r="H309" t="s">
        <v>147</v>
      </c>
      <c r="I309" t="s">
        <v>148</v>
      </c>
    </row>
    <row r="310" spans="1:9">
      <c r="A310" s="50">
        <v>45843</v>
      </c>
      <c r="B310" s="51">
        <v>0.4478009259259259</v>
      </c>
      <c r="C310" t="s">
        <v>145</v>
      </c>
      <c r="D310" t="s">
        <v>42</v>
      </c>
      <c r="E310" t="s">
        <v>47</v>
      </c>
      <c r="F310" t="s">
        <v>158</v>
      </c>
      <c r="G310">
        <v>-30000</v>
      </c>
      <c r="H310" t="s">
        <v>147</v>
      </c>
      <c r="I310" t="s">
        <v>57</v>
      </c>
    </row>
    <row r="311" spans="1:9">
      <c r="A311" s="50">
        <v>45843</v>
      </c>
      <c r="B311" s="51">
        <v>0.2992592592592593</v>
      </c>
      <c r="C311" t="s">
        <v>145</v>
      </c>
      <c r="D311" t="s">
        <v>34</v>
      </c>
      <c r="E311" t="s">
        <v>47</v>
      </c>
      <c r="F311" t="s">
        <v>146</v>
      </c>
      <c r="G311">
        <v>-1850</v>
      </c>
      <c r="H311" t="s">
        <v>147</v>
      </c>
      <c r="I311" t="s">
        <v>148</v>
      </c>
    </row>
    <row r="312" spans="1:9">
      <c r="A312" s="50">
        <v>45843</v>
      </c>
      <c r="B312" s="51">
        <v>0.2404976851851852</v>
      </c>
      <c r="C312" t="s">
        <v>145</v>
      </c>
      <c r="D312" t="s">
        <v>34</v>
      </c>
      <c r="E312" t="s">
        <v>47</v>
      </c>
      <c r="F312" t="s">
        <v>272</v>
      </c>
      <c r="G312">
        <v>-1500</v>
      </c>
      <c r="H312" t="s">
        <v>147</v>
      </c>
      <c r="I312" t="s">
        <v>165</v>
      </c>
    </row>
    <row r="313" spans="1:9">
      <c r="A313" s="50">
        <v>45843</v>
      </c>
      <c r="B313" s="51">
        <v>0.2404976851851852</v>
      </c>
      <c r="C313" t="s">
        <v>145</v>
      </c>
      <c r="D313" t="s">
        <v>47</v>
      </c>
      <c r="E313" t="s">
        <v>47</v>
      </c>
      <c r="F313" t="s">
        <v>273</v>
      </c>
      <c r="G313">
        <v>-13800</v>
      </c>
      <c r="H313" t="s">
        <v>147</v>
      </c>
      <c r="I313" t="s">
        <v>165</v>
      </c>
    </row>
    <row r="314" spans="1:9">
      <c r="A314" s="50">
        <v>45843</v>
      </c>
      <c r="B314" s="51">
        <v>0.2404861111111111</v>
      </c>
      <c r="C314" t="s">
        <v>145</v>
      </c>
      <c r="D314" t="s">
        <v>34</v>
      </c>
      <c r="E314" t="s">
        <v>47</v>
      </c>
      <c r="F314" t="s">
        <v>274</v>
      </c>
      <c r="G314">
        <v>-23550</v>
      </c>
      <c r="H314" t="s">
        <v>147</v>
      </c>
      <c r="I314" t="s">
        <v>165</v>
      </c>
    </row>
    <row r="315" spans="1:9">
      <c r="A315" s="50">
        <v>45843</v>
      </c>
      <c r="B315" s="51">
        <v>0.2404861111111111</v>
      </c>
      <c r="C315" t="s">
        <v>145</v>
      </c>
      <c r="D315" t="s">
        <v>34</v>
      </c>
      <c r="E315" t="s">
        <v>47</v>
      </c>
      <c r="F315" t="s">
        <v>272</v>
      </c>
      <c r="G315">
        <v>-100</v>
      </c>
      <c r="H315" t="s">
        <v>147</v>
      </c>
      <c r="I315" t="s">
        <v>165</v>
      </c>
    </row>
    <row r="316" spans="1:9">
      <c r="A316" s="50">
        <v>45842</v>
      </c>
      <c r="B316" s="51">
        <v>0.7904745370370371</v>
      </c>
      <c r="C316" t="s">
        <v>145</v>
      </c>
      <c r="D316" t="s">
        <v>40</v>
      </c>
      <c r="E316" t="s">
        <v>47</v>
      </c>
      <c r="F316" t="s">
        <v>275</v>
      </c>
      <c r="G316">
        <v>-51800</v>
      </c>
      <c r="H316" t="s">
        <v>147</v>
      </c>
      <c r="I316" t="s">
        <v>148</v>
      </c>
    </row>
    <row r="317" spans="1:9">
      <c r="A317" s="50">
        <v>45842</v>
      </c>
      <c r="B317" s="51">
        <v>0.7889583333333333</v>
      </c>
      <c r="C317" t="s">
        <v>145</v>
      </c>
      <c r="D317" t="s">
        <v>34</v>
      </c>
      <c r="E317" t="s">
        <v>47</v>
      </c>
      <c r="F317" t="s">
        <v>244</v>
      </c>
      <c r="G317">
        <v>-1500</v>
      </c>
      <c r="H317" t="s">
        <v>147</v>
      </c>
      <c r="I317" t="s">
        <v>148</v>
      </c>
    </row>
    <row r="318" spans="1:9">
      <c r="A318" s="50">
        <v>45842</v>
      </c>
      <c r="B318" s="51">
        <v>0.2868865740740741</v>
      </c>
      <c r="C318" t="s">
        <v>145</v>
      </c>
      <c r="D318" t="s">
        <v>34</v>
      </c>
      <c r="E318" t="s">
        <v>47</v>
      </c>
      <c r="F318" t="s">
        <v>146</v>
      </c>
      <c r="G318">
        <v>-1850</v>
      </c>
      <c r="H318" t="s">
        <v>147</v>
      </c>
      <c r="I318" t="s">
        <v>148</v>
      </c>
    </row>
    <row r="319" spans="1:9">
      <c r="A319" s="50">
        <v>45841</v>
      </c>
      <c r="B319" s="51">
        <v>0.9276967592592592</v>
      </c>
      <c r="C319" t="s">
        <v>145</v>
      </c>
      <c r="D319" t="s">
        <v>45</v>
      </c>
      <c r="E319" t="s">
        <v>47</v>
      </c>
      <c r="F319" t="s">
        <v>276</v>
      </c>
      <c r="G319">
        <v>-2400</v>
      </c>
      <c r="H319" t="s">
        <v>147</v>
      </c>
      <c r="I319" t="s">
        <v>165</v>
      </c>
    </row>
    <row r="320" spans="1:9">
      <c r="A320" s="50">
        <v>45841</v>
      </c>
      <c r="B320" s="51">
        <v>0.286412037037037</v>
      </c>
      <c r="C320" t="s">
        <v>145</v>
      </c>
      <c r="D320" t="s">
        <v>34</v>
      </c>
      <c r="E320" t="s">
        <v>47</v>
      </c>
      <c r="F320" t="s">
        <v>146</v>
      </c>
      <c r="G320">
        <v>-1850</v>
      </c>
      <c r="H320" t="s">
        <v>147</v>
      </c>
      <c r="I320" t="s">
        <v>148</v>
      </c>
    </row>
    <row r="321" spans="1:9">
      <c r="A321" s="50">
        <v>45840</v>
      </c>
      <c r="B321" s="51">
        <v>0.8378819444444444</v>
      </c>
      <c r="C321" t="s">
        <v>145</v>
      </c>
      <c r="D321" t="s">
        <v>40</v>
      </c>
      <c r="E321" t="s">
        <v>47</v>
      </c>
      <c r="F321" t="s">
        <v>277</v>
      </c>
      <c r="G321">
        <v>-23800</v>
      </c>
      <c r="H321" t="s">
        <v>147</v>
      </c>
      <c r="I321" t="s">
        <v>148</v>
      </c>
    </row>
    <row r="322" spans="1:9">
      <c r="A322" s="50">
        <v>45840</v>
      </c>
      <c r="B322" s="51">
        <v>0.7356481481481482</v>
      </c>
      <c r="C322" t="s">
        <v>145</v>
      </c>
      <c r="D322" t="s">
        <v>34</v>
      </c>
      <c r="E322" t="s">
        <v>47</v>
      </c>
      <c r="F322" t="s">
        <v>146</v>
      </c>
      <c r="G322">
        <v>-1850</v>
      </c>
      <c r="H322" t="s">
        <v>147</v>
      </c>
      <c r="I322" t="s">
        <v>148</v>
      </c>
    </row>
    <row r="323" spans="1:9">
      <c r="A323" s="50">
        <v>45838</v>
      </c>
      <c r="B323" s="51">
        <v>0.7840625</v>
      </c>
      <c r="C323" t="s">
        <v>145</v>
      </c>
      <c r="D323" t="s">
        <v>38</v>
      </c>
      <c r="E323" t="s">
        <v>47</v>
      </c>
      <c r="F323" t="s">
        <v>278</v>
      </c>
      <c r="G323">
        <v>-3400</v>
      </c>
      <c r="H323" t="s">
        <v>147</v>
      </c>
      <c r="I323" t="s">
        <v>165</v>
      </c>
    </row>
    <row r="324" spans="1:9">
      <c r="A324" s="50">
        <v>45838</v>
      </c>
      <c r="B324" s="51">
        <v>0.7838773148148148</v>
      </c>
      <c r="C324" t="s">
        <v>145</v>
      </c>
      <c r="D324" t="s">
        <v>36</v>
      </c>
      <c r="E324" t="s">
        <v>47</v>
      </c>
      <c r="F324" t="s">
        <v>279</v>
      </c>
      <c r="G324">
        <v>-1500</v>
      </c>
      <c r="H324" t="s">
        <v>147</v>
      </c>
      <c r="I324" t="s">
        <v>165</v>
      </c>
    </row>
    <row r="325" spans="1:9">
      <c r="A325" s="50">
        <v>45838</v>
      </c>
      <c r="B325" s="51">
        <v>0.7773726851851852</v>
      </c>
      <c r="C325" t="s">
        <v>145</v>
      </c>
      <c r="D325" t="s">
        <v>45</v>
      </c>
      <c r="E325" t="s">
        <v>47</v>
      </c>
      <c r="F325" t="s">
        <v>280</v>
      </c>
      <c r="G325">
        <v>-3300</v>
      </c>
      <c r="H325" t="s">
        <v>147</v>
      </c>
      <c r="I325" t="s">
        <v>165</v>
      </c>
    </row>
    <row r="326" spans="1:9">
      <c r="A326" s="50">
        <v>45838</v>
      </c>
      <c r="B326" s="51">
        <v>0.7735879629629629</v>
      </c>
      <c r="C326" t="s">
        <v>145</v>
      </c>
      <c r="D326" t="s">
        <v>40</v>
      </c>
      <c r="E326" t="s">
        <v>47</v>
      </c>
      <c r="F326" t="s">
        <v>281</v>
      </c>
      <c r="G326">
        <v>-39400</v>
      </c>
      <c r="H326" t="s">
        <v>147</v>
      </c>
      <c r="I326" t="s">
        <v>165</v>
      </c>
    </row>
    <row r="327" spans="1:9">
      <c r="A327" s="50">
        <v>45837</v>
      </c>
      <c r="B327" s="51">
        <v>0.6920138888888889</v>
      </c>
      <c r="C327" t="s">
        <v>145</v>
      </c>
      <c r="D327" t="s">
        <v>38</v>
      </c>
      <c r="E327" t="s">
        <v>47</v>
      </c>
      <c r="F327" t="s">
        <v>282</v>
      </c>
      <c r="G327">
        <v>-10280</v>
      </c>
      <c r="H327" t="s">
        <v>147</v>
      </c>
      <c r="I327" t="s">
        <v>165</v>
      </c>
    </row>
    <row r="328" spans="1:9">
      <c r="A328" s="50">
        <v>45835</v>
      </c>
      <c r="B328" s="51">
        <v>0.7547106481481481</v>
      </c>
      <c r="C328" t="s">
        <v>145</v>
      </c>
      <c r="D328" t="s">
        <v>38</v>
      </c>
      <c r="E328" t="s">
        <v>47</v>
      </c>
      <c r="F328" t="s">
        <v>218</v>
      </c>
      <c r="G328">
        <v>-25830</v>
      </c>
      <c r="H328" t="s">
        <v>147</v>
      </c>
      <c r="I328" t="s">
        <v>165</v>
      </c>
    </row>
    <row r="329" spans="1:9">
      <c r="A329" s="50">
        <v>45835</v>
      </c>
      <c r="B329" s="51">
        <v>0.7483101851851852</v>
      </c>
      <c r="C329" t="s">
        <v>145</v>
      </c>
      <c r="D329" t="s">
        <v>40</v>
      </c>
      <c r="E329" t="s">
        <v>47</v>
      </c>
      <c r="F329" t="s">
        <v>228</v>
      </c>
      <c r="G329">
        <v>-13500</v>
      </c>
      <c r="H329" t="s">
        <v>147</v>
      </c>
      <c r="I329" t="s">
        <v>148</v>
      </c>
    </row>
    <row r="330" spans="1:9">
      <c r="A330" s="50">
        <v>45835</v>
      </c>
      <c r="B330" s="51">
        <v>0.4617708333333334</v>
      </c>
      <c r="C330" t="s">
        <v>151</v>
      </c>
      <c r="D330" t="s">
        <v>151</v>
      </c>
      <c r="E330" t="s">
        <v>47</v>
      </c>
      <c r="F330" t="s">
        <v>283</v>
      </c>
      <c r="G330">
        <v>1</v>
      </c>
      <c r="H330" t="s">
        <v>147</v>
      </c>
      <c r="I330" t="s">
        <v>57</v>
      </c>
    </row>
    <row r="331" spans="1:9">
      <c r="A331" s="50">
        <v>45835</v>
      </c>
      <c r="B331" s="51">
        <v>0.4582175925925926</v>
      </c>
      <c r="C331" t="s">
        <v>151</v>
      </c>
      <c r="D331" t="s">
        <v>151</v>
      </c>
      <c r="E331" t="s">
        <v>47</v>
      </c>
      <c r="F331" t="s">
        <v>284</v>
      </c>
      <c r="G331">
        <v>1</v>
      </c>
      <c r="H331" t="s">
        <v>147</v>
      </c>
      <c r="I331" t="s">
        <v>57</v>
      </c>
    </row>
    <row r="332" spans="1:9">
      <c r="A332" s="50">
        <v>45834</v>
      </c>
      <c r="B332" s="51">
        <v>0.8320833333333333</v>
      </c>
      <c r="C332" t="s">
        <v>145</v>
      </c>
      <c r="D332" t="s">
        <v>45</v>
      </c>
      <c r="E332" t="s">
        <v>47</v>
      </c>
      <c r="F332" t="s">
        <v>285</v>
      </c>
      <c r="G332">
        <v>-16100</v>
      </c>
      <c r="H332" t="s">
        <v>147</v>
      </c>
      <c r="I332" t="s">
        <v>165</v>
      </c>
    </row>
    <row r="333" spans="1:9">
      <c r="A333" s="50">
        <v>45834</v>
      </c>
      <c r="B333" s="51">
        <v>0.7660532407407408</v>
      </c>
      <c r="C333" t="s">
        <v>145</v>
      </c>
      <c r="D333" t="s">
        <v>35</v>
      </c>
      <c r="E333" t="s">
        <v>47</v>
      </c>
      <c r="F333" t="s">
        <v>202</v>
      </c>
      <c r="G333">
        <v>-10000</v>
      </c>
      <c r="H333" t="s">
        <v>147</v>
      </c>
      <c r="I333" t="s">
        <v>57</v>
      </c>
    </row>
    <row r="334" spans="1:9">
      <c r="A334" s="50">
        <v>45834</v>
      </c>
      <c r="B334" s="51">
        <v>0.7346064814814814</v>
      </c>
      <c r="C334" t="s">
        <v>145</v>
      </c>
      <c r="D334" t="s">
        <v>45</v>
      </c>
      <c r="E334" t="s">
        <v>47</v>
      </c>
      <c r="F334" t="s">
        <v>286</v>
      </c>
      <c r="G334">
        <v>-20000</v>
      </c>
      <c r="H334" t="s">
        <v>147</v>
      </c>
      <c r="I334" t="s">
        <v>165</v>
      </c>
    </row>
    <row r="335" spans="1:9">
      <c r="A335" s="50">
        <v>45833</v>
      </c>
      <c r="B335" s="51">
        <v>0.8077777777777778</v>
      </c>
      <c r="C335" t="s">
        <v>145</v>
      </c>
      <c r="D335" t="s">
        <v>35</v>
      </c>
      <c r="E335" t="s">
        <v>207</v>
      </c>
      <c r="F335" t="s">
        <v>208</v>
      </c>
      <c r="G335">
        <v>-3009</v>
      </c>
      <c r="H335" t="s">
        <v>147</v>
      </c>
      <c r="I335" t="s">
        <v>57</v>
      </c>
    </row>
    <row r="336" spans="1:9">
      <c r="A336" s="50">
        <v>45833</v>
      </c>
      <c r="B336" s="51">
        <v>0.8077777777777778</v>
      </c>
      <c r="C336" t="s">
        <v>145</v>
      </c>
      <c r="D336" t="s">
        <v>35</v>
      </c>
      <c r="E336" t="s">
        <v>204</v>
      </c>
      <c r="F336" t="s">
        <v>287</v>
      </c>
      <c r="G336">
        <v>-32200</v>
      </c>
      <c r="H336" t="s">
        <v>147</v>
      </c>
      <c r="I336" t="s">
        <v>57</v>
      </c>
    </row>
    <row r="337" spans="1:9">
      <c r="A337" s="50">
        <v>45833</v>
      </c>
      <c r="B337" s="51">
        <v>0.7776967592592593</v>
      </c>
      <c r="C337" t="s">
        <v>151</v>
      </c>
      <c r="D337" t="s">
        <v>198</v>
      </c>
      <c r="E337" t="s">
        <v>47</v>
      </c>
      <c r="F337" t="s">
        <v>211</v>
      </c>
      <c r="G337">
        <v>-50000</v>
      </c>
      <c r="H337" t="s">
        <v>147</v>
      </c>
      <c r="I337" t="s">
        <v>57</v>
      </c>
    </row>
    <row r="338" spans="1:9">
      <c r="A338" s="50">
        <v>45833</v>
      </c>
      <c r="B338" s="51">
        <v>0.7730092592592592</v>
      </c>
      <c r="C338" t="s">
        <v>145</v>
      </c>
      <c r="D338" t="s">
        <v>42</v>
      </c>
      <c r="E338" t="s">
        <v>47</v>
      </c>
      <c r="F338" t="s">
        <v>288</v>
      </c>
      <c r="G338">
        <v>-45000</v>
      </c>
      <c r="H338" t="s">
        <v>147</v>
      </c>
      <c r="I338" t="s">
        <v>57</v>
      </c>
    </row>
    <row r="339" spans="1:9">
      <c r="A339" s="50">
        <v>45833</v>
      </c>
      <c r="B339" s="51">
        <v>0.4400462962962963</v>
      </c>
      <c r="C339" t="s">
        <v>151</v>
      </c>
      <c r="D339" t="s">
        <v>160</v>
      </c>
      <c r="E339" t="s">
        <v>47</v>
      </c>
      <c r="F339" t="s">
        <v>163</v>
      </c>
      <c r="G339">
        <v>-36200</v>
      </c>
      <c r="H339" t="s">
        <v>147</v>
      </c>
      <c r="I339" t="s">
        <v>57</v>
      </c>
    </row>
    <row r="340" spans="1:9">
      <c r="A340" s="50">
        <v>45833</v>
      </c>
      <c r="B340" s="51">
        <v>0.4400462962962963</v>
      </c>
      <c r="C340" t="s">
        <v>145</v>
      </c>
      <c r="D340" t="s">
        <v>42</v>
      </c>
      <c r="E340" t="s">
        <v>47</v>
      </c>
      <c r="F340" t="s">
        <v>153</v>
      </c>
      <c r="G340">
        <v>-36500</v>
      </c>
      <c r="H340" t="s">
        <v>147</v>
      </c>
      <c r="I340" t="s">
        <v>154</v>
      </c>
    </row>
    <row r="341" spans="1:9">
      <c r="A341" s="50">
        <v>45833</v>
      </c>
      <c r="B341" s="51">
        <v>0.4400462962962963</v>
      </c>
      <c r="C341" t="s">
        <v>151</v>
      </c>
      <c r="D341" t="s">
        <v>160</v>
      </c>
      <c r="E341" t="s">
        <v>47</v>
      </c>
      <c r="F341" t="s">
        <v>161</v>
      </c>
      <c r="G341">
        <v>36200</v>
      </c>
      <c r="H341" t="s">
        <v>147</v>
      </c>
      <c r="I341" t="s">
        <v>162</v>
      </c>
    </row>
    <row r="342" spans="1:9">
      <c r="A342" s="50">
        <v>45833</v>
      </c>
      <c r="B342" s="51">
        <v>0.4319560185185185</v>
      </c>
      <c r="C342" t="s">
        <v>145</v>
      </c>
      <c r="D342" t="s">
        <v>42</v>
      </c>
      <c r="E342" t="s">
        <v>47</v>
      </c>
      <c r="F342" t="s">
        <v>158</v>
      </c>
      <c r="G342">
        <v>-210000</v>
      </c>
      <c r="H342" t="s">
        <v>147</v>
      </c>
      <c r="I342" t="s">
        <v>57</v>
      </c>
    </row>
    <row r="343" spans="1:9">
      <c r="A343" s="50">
        <v>45833</v>
      </c>
      <c r="B343" s="51">
        <v>0.3761111111111111</v>
      </c>
      <c r="C343" t="s">
        <v>151</v>
      </c>
      <c r="D343" t="s">
        <v>160</v>
      </c>
      <c r="E343" t="s">
        <v>47</v>
      </c>
      <c r="F343" t="s">
        <v>7</v>
      </c>
      <c r="G343">
        <v>1000000</v>
      </c>
      <c r="H343" t="s">
        <v>147</v>
      </c>
      <c r="I343" t="s">
        <v>61</v>
      </c>
    </row>
    <row r="344" spans="1:9">
      <c r="A344" s="50">
        <v>45833</v>
      </c>
      <c r="B344" s="51">
        <v>0.3761111111111111</v>
      </c>
      <c r="C344" t="s">
        <v>151</v>
      </c>
      <c r="D344" t="s">
        <v>160</v>
      </c>
      <c r="E344" t="s">
        <v>47</v>
      </c>
      <c r="F344" t="s">
        <v>7</v>
      </c>
      <c r="G344">
        <v>-1000000</v>
      </c>
      <c r="H344" t="s">
        <v>147</v>
      </c>
      <c r="I344" t="s">
        <v>57</v>
      </c>
    </row>
    <row r="345" spans="1:9">
      <c r="A345" s="50">
        <v>45833</v>
      </c>
      <c r="B345" s="51">
        <v>0.3616087962962963</v>
      </c>
      <c r="C345" t="s">
        <v>151</v>
      </c>
      <c r="D345" t="s">
        <v>198</v>
      </c>
      <c r="E345" t="s">
        <v>47</v>
      </c>
      <c r="F345" t="s">
        <v>213</v>
      </c>
      <c r="G345">
        <v>1569960</v>
      </c>
      <c r="H345" t="s">
        <v>147</v>
      </c>
      <c r="I345" t="s">
        <v>57</v>
      </c>
    </row>
    <row r="346" spans="1:9">
      <c r="A346" s="50">
        <v>45833</v>
      </c>
      <c r="B346" s="51">
        <v>0.2271180555555556</v>
      </c>
      <c r="C346" t="s">
        <v>151</v>
      </c>
      <c r="D346" t="s">
        <v>198</v>
      </c>
      <c r="E346" t="s">
        <v>47</v>
      </c>
      <c r="F346" t="s">
        <v>214</v>
      </c>
      <c r="G346">
        <v>-100000</v>
      </c>
      <c r="H346" t="s">
        <v>147</v>
      </c>
      <c r="I346" t="s">
        <v>57</v>
      </c>
    </row>
    <row r="347" spans="1:9">
      <c r="A347" s="50">
        <v>45832</v>
      </c>
      <c r="B347" s="51">
        <v>0.4948611111111111</v>
      </c>
      <c r="C347" t="s">
        <v>145</v>
      </c>
      <c r="D347" t="s">
        <v>42</v>
      </c>
      <c r="E347" t="s">
        <v>47</v>
      </c>
      <c r="F347" t="s">
        <v>289</v>
      </c>
      <c r="G347">
        <v>-303000</v>
      </c>
      <c r="H347" t="s">
        <v>147</v>
      </c>
      <c r="I347" t="s">
        <v>165</v>
      </c>
    </row>
    <row r="348" spans="1:9">
      <c r="A348" s="50">
        <v>45832</v>
      </c>
      <c r="B348" s="51">
        <v>0.3758680555555556</v>
      </c>
      <c r="C348" t="s">
        <v>145</v>
      </c>
      <c r="D348" t="s">
        <v>42</v>
      </c>
      <c r="E348" t="s">
        <v>47</v>
      </c>
      <c r="F348" t="s">
        <v>153</v>
      </c>
      <c r="G348">
        <v>-3900</v>
      </c>
      <c r="H348" t="s">
        <v>147</v>
      </c>
      <c r="I348" t="s">
        <v>154</v>
      </c>
    </row>
    <row r="349" spans="1:9">
      <c r="A349" s="50">
        <v>45831</v>
      </c>
      <c r="B349" s="51">
        <v>0.7851388888888889</v>
      </c>
      <c r="C349" t="s">
        <v>145</v>
      </c>
      <c r="D349" t="s">
        <v>38</v>
      </c>
      <c r="E349" t="s">
        <v>47</v>
      </c>
      <c r="F349" t="s">
        <v>203</v>
      </c>
      <c r="G349">
        <v>-23650</v>
      </c>
      <c r="H349" t="s">
        <v>147</v>
      </c>
      <c r="I349" t="s">
        <v>165</v>
      </c>
    </row>
    <row r="350" spans="1:9">
      <c r="A350" s="50">
        <v>45831</v>
      </c>
      <c r="B350" s="51">
        <v>0.7675347222222222</v>
      </c>
      <c r="C350" t="s">
        <v>145</v>
      </c>
      <c r="D350" t="s">
        <v>44</v>
      </c>
      <c r="E350" t="s">
        <v>220</v>
      </c>
      <c r="F350" t="s">
        <v>221</v>
      </c>
      <c r="G350">
        <v>-82120</v>
      </c>
      <c r="H350" t="s">
        <v>147</v>
      </c>
      <c r="I350" t="s">
        <v>57</v>
      </c>
    </row>
    <row r="351" spans="1:9">
      <c r="A351" s="50">
        <v>45830</v>
      </c>
      <c r="B351" s="51">
        <v>0.7224768518518518</v>
      </c>
      <c r="C351" t="s">
        <v>145</v>
      </c>
      <c r="D351" t="s">
        <v>34</v>
      </c>
      <c r="E351" t="s">
        <v>47</v>
      </c>
      <c r="F351" t="s">
        <v>290</v>
      </c>
      <c r="G351">
        <v>-50</v>
      </c>
      <c r="H351" t="s">
        <v>147</v>
      </c>
      <c r="I351" t="s">
        <v>148</v>
      </c>
    </row>
    <row r="352" spans="1:9">
      <c r="A352" s="50">
        <v>45830</v>
      </c>
      <c r="B352" s="51">
        <v>0.7140856481481481</v>
      </c>
      <c r="C352" t="s">
        <v>145</v>
      </c>
      <c r="D352" t="s">
        <v>40</v>
      </c>
      <c r="E352" t="s">
        <v>47</v>
      </c>
      <c r="F352" t="s">
        <v>228</v>
      </c>
      <c r="G352">
        <v>-17803</v>
      </c>
      <c r="H352" t="s">
        <v>147</v>
      </c>
      <c r="I352" t="s">
        <v>148</v>
      </c>
    </row>
    <row r="353" spans="1:9">
      <c r="A353" s="50">
        <v>45830</v>
      </c>
      <c r="B353" s="51">
        <v>0.6966898148148148</v>
      </c>
      <c r="C353" t="s">
        <v>145</v>
      </c>
      <c r="D353" t="s">
        <v>34</v>
      </c>
      <c r="E353" t="s">
        <v>47</v>
      </c>
      <c r="F353" t="s">
        <v>146</v>
      </c>
      <c r="G353">
        <v>-1500</v>
      </c>
      <c r="H353" t="s">
        <v>147</v>
      </c>
      <c r="I353" t="s">
        <v>148</v>
      </c>
    </row>
    <row r="354" spans="1:9">
      <c r="A354" s="50">
        <v>45829</v>
      </c>
      <c r="B354" s="51">
        <v>0.8283680555555556</v>
      </c>
      <c r="C354" t="s">
        <v>151</v>
      </c>
      <c r="D354" t="s">
        <v>160</v>
      </c>
      <c r="E354" t="s">
        <v>47</v>
      </c>
      <c r="F354" t="s">
        <v>7</v>
      </c>
      <c r="G354">
        <v>154200</v>
      </c>
      <c r="H354" t="s">
        <v>147</v>
      </c>
      <c r="I354" t="s">
        <v>57</v>
      </c>
    </row>
    <row r="355" spans="1:9">
      <c r="A355" s="50">
        <v>45829</v>
      </c>
      <c r="B355" s="51">
        <v>0.8276967592592592</v>
      </c>
      <c r="C355" t="s">
        <v>151</v>
      </c>
      <c r="D355" t="s">
        <v>160</v>
      </c>
      <c r="E355" t="s">
        <v>47</v>
      </c>
      <c r="F355" t="s">
        <v>7</v>
      </c>
      <c r="G355">
        <v>79000</v>
      </c>
      <c r="H355" t="s">
        <v>147</v>
      </c>
      <c r="I355" t="s">
        <v>57</v>
      </c>
    </row>
    <row r="356" spans="1:9">
      <c r="A356" s="50">
        <v>45829</v>
      </c>
      <c r="B356" s="51">
        <v>0.8206365740740741</v>
      </c>
      <c r="C356" t="s">
        <v>151</v>
      </c>
      <c r="D356" t="s">
        <v>160</v>
      </c>
      <c r="E356" t="s">
        <v>47</v>
      </c>
      <c r="F356" t="s">
        <v>7</v>
      </c>
      <c r="G356">
        <v>150000</v>
      </c>
      <c r="H356" t="s">
        <v>147</v>
      </c>
      <c r="I356" t="s">
        <v>57</v>
      </c>
    </row>
    <row r="357" spans="1:9">
      <c r="A357" s="50">
        <v>45829</v>
      </c>
      <c r="B357" s="51">
        <v>0.8206365740740741</v>
      </c>
      <c r="C357" t="s">
        <v>151</v>
      </c>
      <c r="D357" t="s">
        <v>160</v>
      </c>
      <c r="E357" t="s">
        <v>47</v>
      </c>
      <c r="F357" t="s">
        <v>161</v>
      </c>
      <c r="G357">
        <v>-150000</v>
      </c>
      <c r="H357" t="s">
        <v>147</v>
      </c>
      <c r="I357" t="s">
        <v>162</v>
      </c>
    </row>
    <row r="358" spans="1:9">
      <c r="A358" s="50">
        <v>45829</v>
      </c>
      <c r="B358" s="51">
        <v>0.8195254629629629</v>
      </c>
      <c r="C358" t="s">
        <v>151</v>
      </c>
      <c r="D358" t="s">
        <v>151</v>
      </c>
      <c r="E358" t="s">
        <v>47</v>
      </c>
      <c r="F358" t="s">
        <v>263</v>
      </c>
      <c r="G358">
        <v>77100</v>
      </c>
      <c r="H358" t="s">
        <v>147</v>
      </c>
      <c r="I358" t="s">
        <v>162</v>
      </c>
    </row>
    <row r="359" spans="1:9">
      <c r="A359" s="50">
        <v>45829</v>
      </c>
      <c r="B359" s="51">
        <v>0.8177199074074074</v>
      </c>
      <c r="C359" t="s">
        <v>151</v>
      </c>
      <c r="D359" t="s">
        <v>151</v>
      </c>
      <c r="E359" t="s">
        <v>47</v>
      </c>
      <c r="F359" t="s">
        <v>264</v>
      </c>
      <c r="G359">
        <v>77100</v>
      </c>
      <c r="H359" t="s">
        <v>147</v>
      </c>
      <c r="I359" t="s">
        <v>162</v>
      </c>
    </row>
    <row r="360" spans="1:9">
      <c r="A360" s="50">
        <v>45829</v>
      </c>
      <c r="B360" s="51">
        <v>0.8120138888888889</v>
      </c>
      <c r="C360" t="s">
        <v>151</v>
      </c>
      <c r="D360" t="s">
        <v>160</v>
      </c>
      <c r="E360" t="s">
        <v>47</v>
      </c>
      <c r="F360" t="s">
        <v>7</v>
      </c>
      <c r="G360">
        <v>-200000</v>
      </c>
      <c r="H360" t="s">
        <v>147</v>
      </c>
      <c r="I360" t="s">
        <v>57</v>
      </c>
    </row>
    <row r="361" spans="1:9">
      <c r="A361" s="50">
        <v>45829</v>
      </c>
      <c r="B361" s="51">
        <v>0.809375</v>
      </c>
      <c r="C361" t="s">
        <v>145</v>
      </c>
      <c r="D361" t="s">
        <v>38</v>
      </c>
      <c r="E361" t="s">
        <v>47</v>
      </c>
      <c r="F361" t="s">
        <v>291</v>
      </c>
      <c r="G361">
        <v>-1000</v>
      </c>
      <c r="H361" t="s">
        <v>147</v>
      </c>
      <c r="I361" t="s">
        <v>165</v>
      </c>
    </row>
    <row r="362" spans="1:9">
      <c r="A362" s="50">
        <v>45829</v>
      </c>
      <c r="B362" s="51">
        <v>0.6819791666666667</v>
      </c>
      <c r="C362" t="s">
        <v>145</v>
      </c>
      <c r="D362" t="s">
        <v>45</v>
      </c>
      <c r="E362" t="s">
        <v>47</v>
      </c>
      <c r="F362" t="s">
        <v>292</v>
      </c>
      <c r="G362">
        <v>-28400</v>
      </c>
      <c r="H362" t="s">
        <v>147</v>
      </c>
      <c r="I362" t="s">
        <v>165</v>
      </c>
    </row>
    <row r="363" spans="1:9">
      <c r="A363" s="50">
        <v>45829</v>
      </c>
      <c r="B363" s="51">
        <v>0.6681944444444444</v>
      </c>
      <c r="C363" t="s">
        <v>145</v>
      </c>
      <c r="D363" t="s">
        <v>40</v>
      </c>
      <c r="E363" t="s">
        <v>47</v>
      </c>
      <c r="F363" t="s">
        <v>293</v>
      </c>
      <c r="G363">
        <v>-148000</v>
      </c>
      <c r="H363" t="s">
        <v>147</v>
      </c>
      <c r="I363" t="s">
        <v>165</v>
      </c>
    </row>
    <row r="364" spans="1:9">
      <c r="A364" s="50">
        <v>45829</v>
      </c>
      <c r="B364" s="51">
        <v>0.3190625</v>
      </c>
      <c r="C364" t="s">
        <v>145</v>
      </c>
      <c r="D364" t="s">
        <v>34</v>
      </c>
      <c r="E364" t="s">
        <v>47</v>
      </c>
      <c r="F364" t="s">
        <v>146</v>
      </c>
      <c r="G364">
        <v>-1500</v>
      </c>
      <c r="H364" t="s">
        <v>147</v>
      </c>
      <c r="I364" t="s">
        <v>148</v>
      </c>
    </row>
    <row r="365" spans="1:9">
      <c r="A365" s="50">
        <v>45828</v>
      </c>
      <c r="B365" s="51">
        <v>0.7873263888888888</v>
      </c>
      <c r="C365" t="s">
        <v>145</v>
      </c>
      <c r="D365" t="s">
        <v>35</v>
      </c>
      <c r="E365" t="s">
        <v>204</v>
      </c>
      <c r="F365" t="s">
        <v>294</v>
      </c>
      <c r="G365">
        <v>-99360</v>
      </c>
      <c r="H365" t="s">
        <v>147</v>
      </c>
      <c r="I365" t="s">
        <v>57</v>
      </c>
    </row>
    <row r="366" spans="1:9">
      <c r="A366" s="50">
        <v>45828</v>
      </c>
      <c r="B366" s="51">
        <v>0.3404745370370371</v>
      </c>
      <c r="C366" t="s">
        <v>145</v>
      </c>
      <c r="D366" t="s">
        <v>38</v>
      </c>
      <c r="E366" t="s">
        <v>47</v>
      </c>
      <c r="F366" t="s">
        <v>295</v>
      </c>
      <c r="G366">
        <v>-4000</v>
      </c>
      <c r="H366" t="s">
        <v>147</v>
      </c>
      <c r="I366" t="s">
        <v>148</v>
      </c>
    </row>
    <row r="367" spans="1:9">
      <c r="A367" s="50">
        <v>45828</v>
      </c>
      <c r="B367" s="51">
        <v>0.2881828703703704</v>
      </c>
      <c r="C367" t="s">
        <v>145</v>
      </c>
      <c r="D367" t="s">
        <v>34</v>
      </c>
      <c r="E367" t="s">
        <v>47</v>
      </c>
      <c r="F367" t="s">
        <v>146</v>
      </c>
      <c r="G367">
        <v>-1700</v>
      </c>
      <c r="H367" t="s">
        <v>147</v>
      </c>
      <c r="I367" t="s">
        <v>148</v>
      </c>
    </row>
    <row r="368" spans="1:9">
      <c r="A368" s="50">
        <v>45827</v>
      </c>
      <c r="B368" s="51">
        <v>0.8334375000000001</v>
      </c>
      <c r="C368" t="s">
        <v>145</v>
      </c>
      <c r="D368" t="s">
        <v>34</v>
      </c>
      <c r="E368" t="s">
        <v>47</v>
      </c>
      <c r="F368" t="s">
        <v>244</v>
      </c>
      <c r="G368">
        <v>-3000</v>
      </c>
      <c r="H368" t="s">
        <v>147</v>
      </c>
      <c r="I368" t="s">
        <v>148</v>
      </c>
    </row>
    <row r="369" spans="1:9">
      <c r="A369" s="50">
        <v>45827</v>
      </c>
      <c r="B369" s="51">
        <v>0.7996527777777778</v>
      </c>
      <c r="C369" t="s">
        <v>145</v>
      </c>
      <c r="D369" t="s">
        <v>40</v>
      </c>
      <c r="E369" t="s">
        <v>47</v>
      </c>
      <c r="F369" t="s">
        <v>296</v>
      </c>
      <c r="G369">
        <v>-28000</v>
      </c>
      <c r="H369" t="s">
        <v>147</v>
      </c>
      <c r="I369" t="s">
        <v>165</v>
      </c>
    </row>
    <row r="370" spans="1:9">
      <c r="A370" s="50">
        <v>45827</v>
      </c>
      <c r="B370" s="51">
        <v>0.7124421296296296</v>
      </c>
      <c r="C370" t="s">
        <v>145</v>
      </c>
      <c r="D370" t="s">
        <v>34</v>
      </c>
      <c r="E370" t="s">
        <v>47</v>
      </c>
      <c r="F370" t="s">
        <v>244</v>
      </c>
      <c r="G370">
        <v>-3000</v>
      </c>
      <c r="H370" t="s">
        <v>147</v>
      </c>
      <c r="I370" t="s">
        <v>148</v>
      </c>
    </row>
    <row r="371" spans="1:9">
      <c r="A371" s="50">
        <v>45827</v>
      </c>
      <c r="B371" s="51">
        <v>0.2879282407407407</v>
      </c>
      <c r="C371" t="s">
        <v>145</v>
      </c>
      <c r="D371" t="s">
        <v>34</v>
      </c>
      <c r="E371" t="s">
        <v>47</v>
      </c>
      <c r="F371" t="s">
        <v>146</v>
      </c>
      <c r="G371">
        <v>-1700</v>
      </c>
      <c r="H371" t="s">
        <v>147</v>
      </c>
      <c r="I371" t="s">
        <v>148</v>
      </c>
    </row>
    <row r="372" spans="1:9">
      <c r="A372" s="50">
        <v>45826</v>
      </c>
      <c r="B372" s="51">
        <v>0.7827314814814815</v>
      </c>
      <c r="C372" t="s">
        <v>145</v>
      </c>
      <c r="D372" t="s">
        <v>45</v>
      </c>
      <c r="E372" t="s">
        <v>47</v>
      </c>
      <c r="F372" t="s">
        <v>297</v>
      </c>
      <c r="G372">
        <v>-17800</v>
      </c>
      <c r="H372" t="s">
        <v>147</v>
      </c>
      <c r="I372" t="s">
        <v>148</v>
      </c>
    </row>
    <row r="373" spans="1:9">
      <c r="A373" s="50">
        <v>45826</v>
      </c>
      <c r="B373" s="51">
        <v>0.7748379629629629</v>
      </c>
      <c r="C373" t="s">
        <v>145</v>
      </c>
      <c r="D373" t="s">
        <v>40</v>
      </c>
      <c r="E373" t="s">
        <v>47</v>
      </c>
      <c r="F373" t="s">
        <v>298</v>
      </c>
      <c r="G373">
        <v>-79000</v>
      </c>
      <c r="H373" t="s">
        <v>147</v>
      </c>
      <c r="I373" t="s">
        <v>148</v>
      </c>
    </row>
    <row r="374" spans="1:9">
      <c r="A374" s="50">
        <v>45826</v>
      </c>
      <c r="B374" s="51">
        <v>0.7698842592592593</v>
      </c>
      <c r="C374" t="s">
        <v>151</v>
      </c>
      <c r="D374" t="s">
        <v>151</v>
      </c>
      <c r="E374" t="s">
        <v>47</v>
      </c>
      <c r="F374" t="s">
        <v>299</v>
      </c>
      <c r="G374">
        <v>1</v>
      </c>
      <c r="H374" t="s">
        <v>147</v>
      </c>
      <c r="I374" t="s">
        <v>57</v>
      </c>
    </row>
    <row r="375" spans="1:9">
      <c r="A375" s="50">
        <v>45826</v>
      </c>
      <c r="B375" s="51">
        <v>0.7360532407407407</v>
      </c>
      <c r="C375" t="s">
        <v>145</v>
      </c>
      <c r="D375" t="s">
        <v>34</v>
      </c>
      <c r="E375" t="s">
        <v>47</v>
      </c>
      <c r="F375" t="s">
        <v>146</v>
      </c>
      <c r="G375">
        <v>-1700</v>
      </c>
      <c r="H375" t="s">
        <v>147</v>
      </c>
      <c r="I375" t="s">
        <v>148</v>
      </c>
    </row>
    <row r="376" spans="1:9">
      <c r="A376" s="50">
        <v>45826</v>
      </c>
      <c r="B376" s="51">
        <v>0.2883796296296297</v>
      </c>
      <c r="C376" t="s">
        <v>145</v>
      </c>
      <c r="D376" t="s">
        <v>34</v>
      </c>
      <c r="E376" t="s">
        <v>47</v>
      </c>
      <c r="F376" t="s">
        <v>146</v>
      </c>
      <c r="G376">
        <v>-1700</v>
      </c>
      <c r="H376" t="s">
        <v>147</v>
      </c>
      <c r="I376" t="s">
        <v>148</v>
      </c>
    </row>
    <row r="377" spans="1:9">
      <c r="A377" s="50">
        <v>45825</v>
      </c>
      <c r="B377" s="51">
        <v>0.4540972222222222</v>
      </c>
      <c r="C377" t="s">
        <v>145</v>
      </c>
      <c r="D377" t="s">
        <v>42</v>
      </c>
      <c r="E377" t="s">
        <v>47</v>
      </c>
      <c r="F377" t="s">
        <v>300</v>
      </c>
      <c r="G377">
        <v>-7890</v>
      </c>
      <c r="H377" t="s">
        <v>147</v>
      </c>
      <c r="I377" t="s">
        <v>148</v>
      </c>
    </row>
    <row r="378" spans="1:9">
      <c r="A378" s="50">
        <v>45824</v>
      </c>
      <c r="B378" s="51">
        <v>0.5625347222222222</v>
      </c>
      <c r="C378" t="s">
        <v>151</v>
      </c>
      <c r="D378" t="s">
        <v>160</v>
      </c>
      <c r="E378" t="s">
        <v>47</v>
      </c>
      <c r="F378" t="s">
        <v>163</v>
      </c>
      <c r="G378">
        <v>-12889</v>
      </c>
      <c r="H378" t="s">
        <v>147</v>
      </c>
      <c r="I378" t="s">
        <v>57</v>
      </c>
    </row>
    <row r="379" spans="1:9">
      <c r="A379" s="50">
        <v>45824</v>
      </c>
      <c r="B379" s="51">
        <v>0.5625347222222222</v>
      </c>
      <c r="C379" t="s">
        <v>145</v>
      </c>
      <c r="D379" t="s">
        <v>42</v>
      </c>
      <c r="E379" t="s">
        <v>47</v>
      </c>
      <c r="F379" t="s">
        <v>224</v>
      </c>
      <c r="G379">
        <v>-14900</v>
      </c>
      <c r="H379" t="s">
        <v>147</v>
      </c>
      <c r="I379" t="s">
        <v>154</v>
      </c>
    </row>
    <row r="380" spans="1:9">
      <c r="A380" s="50">
        <v>45824</v>
      </c>
      <c r="B380" s="51">
        <v>0.5625347222222222</v>
      </c>
      <c r="C380" t="s">
        <v>151</v>
      </c>
      <c r="D380" t="s">
        <v>160</v>
      </c>
      <c r="E380" t="s">
        <v>47</v>
      </c>
      <c r="F380" t="s">
        <v>161</v>
      </c>
      <c r="G380">
        <v>12889</v>
      </c>
      <c r="H380" t="s">
        <v>147</v>
      </c>
      <c r="I380" t="s">
        <v>162</v>
      </c>
    </row>
    <row r="381" spans="1:9">
      <c r="A381" s="50">
        <v>45824</v>
      </c>
      <c r="B381" s="51">
        <v>0.1307175925925926</v>
      </c>
      <c r="C381" t="s">
        <v>145</v>
      </c>
      <c r="D381" t="s">
        <v>35</v>
      </c>
      <c r="E381" t="s">
        <v>207</v>
      </c>
      <c r="F381" t="s">
        <v>234</v>
      </c>
      <c r="G381">
        <v>-164734</v>
      </c>
      <c r="H381" t="s">
        <v>147</v>
      </c>
      <c r="I381" t="s">
        <v>57</v>
      </c>
    </row>
    <row r="382" spans="1:9">
      <c r="A382" s="50">
        <v>45824</v>
      </c>
      <c r="B382" s="51">
        <v>0.128287037037037</v>
      </c>
      <c r="C382" t="s">
        <v>151</v>
      </c>
      <c r="D382" t="s">
        <v>151</v>
      </c>
      <c r="E382" t="s">
        <v>47</v>
      </c>
      <c r="F382" t="s">
        <v>234</v>
      </c>
      <c r="G382">
        <v>-264429</v>
      </c>
      <c r="H382" t="s">
        <v>147</v>
      </c>
      <c r="I382" t="s">
        <v>61</v>
      </c>
    </row>
    <row r="383" spans="1:9">
      <c r="A383" s="50">
        <v>45823</v>
      </c>
      <c r="B383" s="51">
        <v>0.7246180555555556</v>
      </c>
      <c r="C383" t="s">
        <v>145</v>
      </c>
      <c r="D383" t="s">
        <v>38</v>
      </c>
      <c r="E383" t="s">
        <v>47</v>
      </c>
      <c r="F383" t="s">
        <v>301</v>
      </c>
      <c r="G383">
        <v>-16900</v>
      </c>
      <c r="H383" t="s">
        <v>147</v>
      </c>
      <c r="I383" t="s">
        <v>148</v>
      </c>
    </row>
    <row r="384" spans="1:9">
      <c r="A384" s="50">
        <v>45823</v>
      </c>
      <c r="B384" s="51">
        <v>0.5417592592592593</v>
      </c>
      <c r="C384" t="s">
        <v>145</v>
      </c>
      <c r="D384" t="s">
        <v>38</v>
      </c>
      <c r="E384" t="s">
        <v>47</v>
      </c>
      <c r="F384" t="s">
        <v>301</v>
      </c>
      <c r="G384">
        <v>-16900</v>
      </c>
      <c r="H384" t="s">
        <v>147</v>
      </c>
      <c r="I384" t="s">
        <v>148</v>
      </c>
    </row>
    <row r="385" spans="1:9">
      <c r="A385" s="50">
        <v>45823</v>
      </c>
      <c r="B385" s="51">
        <v>0.5063541666666667</v>
      </c>
      <c r="C385" t="s">
        <v>145</v>
      </c>
      <c r="D385" t="s">
        <v>42</v>
      </c>
      <c r="E385" t="s">
        <v>47</v>
      </c>
      <c r="F385" t="s">
        <v>270</v>
      </c>
      <c r="G385">
        <v>-220000</v>
      </c>
      <c r="H385" t="s">
        <v>147</v>
      </c>
      <c r="I385" t="s">
        <v>148</v>
      </c>
    </row>
    <row r="386" spans="1:9">
      <c r="A386" s="50">
        <v>45823</v>
      </c>
      <c r="B386" s="51">
        <v>0.3690972222222222</v>
      </c>
      <c r="C386" t="s">
        <v>145</v>
      </c>
      <c r="D386" t="s">
        <v>42</v>
      </c>
      <c r="E386" t="s">
        <v>47</v>
      </c>
      <c r="F386" t="s">
        <v>170</v>
      </c>
      <c r="G386">
        <v>-92100</v>
      </c>
      <c r="H386" t="s">
        <v>147</v>
      </c>
      <c r="I386" t="s">
        <v>148</v>
      </c>
    </row>
    <row r="387" spans="1:9">
      <c r="A387" s="50">
        <v>45823</v>
      </c>
      <c r="B387" s="51">
        <v>0.04711805555555556</v>
      </c>
      <c r="C387" t="s">
        <v>145</v>
      </c>
      <c r="D387" t="s">
        <v>42</v>
      </c>
      <c r="E387" t="s">
        <v>47</v>
      </c>
      <c r="F387" t="s">
        <v>225</v>
      </c>
      <c r="G387">
        <v>-1990</v>
      </c>
      <c r="H387" t="s">
        <v>147</v>
      </c>
      <c r="I387" t="s">
        <v>154</v>
      </c>
    </row>
    <row r="388" spans="1:9">
      <c r="A388" s="50">
        <v>45822</v>
      </c>
      <c r="B388" s="51">
        <v>0.7516203703703703</v>
      </c>
      <c r="C388" t="s">
        <v>145</v>
      </c>
      <c r="D388" t="s">
        <v>40</v>
      </c>
      <c r="E388" t="s">
        <v>47</v>
      </c>
      <c r="F388" t="s">
        <v>302</v>
      </c>
      <c r="G388">
        <v>-14500</v>
      </c>
      <c r="H388" t="s">
        <v>147</v>
      </c>
      <c r="I388" t="s">
        <v>165</v>
      </c>
    </row>
    <row r="389" spans="1:9">
      <c r="A389" s="50">
        <v>45822</v>
      </c>
      <c r="B389" s="51">
        <v>0.6030439814814815</v>
      </c>
      <c r="C389" t="s">
        <v>145</v>
      </c>
      <c r="D389" t="s">
        <v>40</v>
      </c>
      <c r="E389" t="s">
        <v>47</v>
      </c>
      <c r="F389" t="s">
        <v>303</v>
      </c>
      <c r="G389">
        <v>-88000</v>
      </c>
      <c r="H389" t="s">
        <v>147</v>
      </c>
      <c r="I389" t="s">
        <v>165</v>
      </c>
    </row>
    <row r="390" spans="1:9">
      <c r="A390" s="50">
        <v>45822</v>
      </c>
      <c r="B390" s="51">
        <v>0.2943402777777778</v>
      </c>
      <c r="C390" t="s">
        <v>145</v>
      </c>
      <c r="D390" t="s">
        <v>34</v>
      </c>
      <c r="E390" t="s">
        <v>47</v>
      </c>
      <c r="F390" t="s">
        <v>146</v>
      </c>
      <c r="G390">
        <v>-1700</v>
      </c>
      <c r="H390" t="s">
        <v>147</v>
      </c>
      <c r="I390" t="s">
        <v>148</v>
      </c>
    </row>
    <row r="391" spans="1:9">
      <c r="A391" s="50">
        <v>45821</v>
      </c>
      <c r="B391" s="51">
        <v>0.814375</v>
      </c>
      <c r="C391" t="s">
        <v>145</v>
      </c>
      <c r="D391" t="s">
        <v>47</v>
      </c>
      <c r="E391" t="s">
        <v>47</v>
      </c>
      <c r="F391" t="s">
        <v>304</v>
      </c>
      <c r="G391">
        <v>-2200</v>
      </c>
      <c r="H391" t="s">
        <v>147</v>
      </c>
      <c r="I391" t="s">
        <v>165</v>
      </c>
    </row>
    <row r="392" spans="1:9">
      <c r="A392" s="50">
        <v>45821</v>
      </c>
      <c r="B392" s="51">
        <v>0.8079976851851852</v>
      </c>
      <c r="C392" t="s">
        <v>145</v>
      </c>
      <c r="D392" t="s">
        <v>40</v>
      </c>
      <c r="E392" t="s">
        <v>47</v>
      </c>
      <c r="F392" t="s">
        <v>305</v>
      </c>
      <c r="G392">
        <v>-64500</v>
      </c>
      <c r="H392" t="s">
        <v>147</v>
      </c>
      <c r="I392" t="s">
        <v>148</v>
      </c>
    </row>
    <row r="393" spans="1:9">
      <c r="A393" s="50">
        <v>45821</v>
      </c>
      <c r="B393" s="51">
        <v>0.7743287037037037</v>
      </c>
      <c r="C393" t="s">
        <v>145</v>
      </c>
      <c r="D393" t="s">
        <v>43</v>
      </c>
      <c r="E393" t="s">
        <v>47</v>
      </c>
      <c r="F393" t="s">
        <v>306</v>
      </c>
      <c r="G393">
        <v>-5000</v>
      </c>
      <c r="H393" t="s">
        <v>147</v>
      </c>
      <c r="I393" t="s">
        <v>165</v>
      </c>
    </row>
    <row r="394" spans="1:9">
      <c r="A394" s="50">
        <v>45821</v>
      </c>
      <c r="B394" s="51">
        <v>0.7356481481481482</v>
      </c>
      <c r="C394" t="s">
        <v>145</v>
      </c>
      <c r="D394" t="s">
        <v>34</v>
      </c>
      <c r="E394" t="s">
        <v>47</v>
      </c>
      <c r="F394" t="s">
        <v>146</v>
      </c>
      <c r="G394">
        <v>-1700</v>
      </c>
      <c r="H394" t="s">
        <v>147</v>
      </c>
      <c r="I394" t="s">
        <v>148</v>
      </c>
    </row>
    <row r="395" spans="1:9">
      <c r="A395" s="50">
        <v>45821</v>
      </c>
      <c r="B395" s="51">
        <v>0.7251967592592593</v>
      </c>
      <c r="C395" t="s">
        <v>145</v>
      </c>
      <c r="D395" t="s">
        <v>42</v>
      </c>
      <c r="E395" t="s">
        <v>47</v>
      </c>
      <c r="F395" t="s">
        <v>153</v>
      </c>
      <c r="G395">
        <v>-1000</v>
      </c>
      <c r="H395" t="s">
        <v>147</v>
      </c>
      <c r="I395" t="s">
        <v>154</v>
      </c>
    </row>
    <row r="396" spans="1:9">
      <c r="A396" s="50">
        <v>45821</v>
      </c>
      <c r="B396" s="51">
        <v>0.5260300925925926</v>
      </c>
      <c r="C396" t="s">
        <v>145</v>
      </c>
      <c r="D396" t="s">
        <v>40</v>
      </c>
      <c r="E396" t="s">
        <v>47</v>
      </c>
      <c r="F396" t="s">
        <v>307</v>
      </c>
      <c r="G396">
        <v>-47580</v>
      </c>
      <c r="H396" t="s">
        <v>147</v>
      </c>
      <c r="I396" t="s">
        <v>148</v>
      </c>
    </row>
    <row r="397" spans="1:9">
      <c r="A397" s="50">
        <v>45821</v>
      </c>
      <c r="B397" s="51">
        <v>0.5130902777777778</v>
      </c>
      <c r="C397" t="s">
        <v>145</v>
      </c>
      <c r="D397" t="s">
        <v>40</v>
      </c>
      <c r="E397" t="s">
        <v>47</v>
      </c>
      <c r="F397" t="s">
        <v>307</v>
      </c>
      <c r="G397">
        <v>-38100</v>
      </c>
      <c r="H397" t="s">
        <v>147</v>
      </c>
      <c r="I397" t="s">
        <v>148</v>
      </c>
    </row>
    <row r="398" spans="1:9">
      <c r="A398" s="50">
        <v>45821</v>
      </c>
      <c r="B398" s="51">
        <v>0.3850231481481481</v>
      </c>
      <c r="C398" t="s">
        <v>151</v>
      </c>
      <c r="D398" t="s">
        <v>160</v>
      </c>
      <c r="E398" t="s">
        <v>47</v>
      </c>
      <c r="F398" t="s">
        <v>7</v>
      </c>
      <c r="G398">
        <v>-100000</v>
      </c>
      <c r="H398" t="s">
        <v>147</v>
      </c>
      <c r="I398" t="s">
        <v>57</v>
      </c>
    </row>
    <row r="399" spans="1:9">
      <c r="A399" s="50">
        <v>45820</v>
      </c>
      <c r="B399" s="51">
        <v>0.7884606481481482</v>
      </c>
      <c r="C399" t="s">
        <v>145</v>
      </c>
      <c r="D399" t="s">
        <v>38</v>
      </c>
      <c r="E399" t="s">
        <v>47</v>
      </c>
      <c r="F399" t="s">
        <v>218</v>
      </c>
      <c r="G399">
        <v>-12230</v>
      </c>
      <c r="H399" t="s">
        <v>147</v>
      </c>
      <c r="I399" t="s">
        <v>148</v>
      </c>
    </row>
    <row r="400" spans="1:9">
      <c r="A400" s="50">
        <v>45820</v>
      </c>
      <c r="B400" s="51">
        <v>0.6695717592592593</v>
      </c>
      <c r="C400" t="s">
        <v>145</v>
      </c>
      <c r="D400" t="s">
        <v>42</v>
      </c>
      <c r="E400" t="s">
        <v>47</v>
      </c>
      <c r="F400" t="s">
        <v>158</v>
      </c>
      <c r="G400">
        <v>-30000</v>
      </c>
      <c r="H400" t="s">
        <v>147</v>
      </c>
      <c r="I400" t="s">
        <v>57</v>
      </c>
    </row>
    <row r="401" spans="1:9">
      <c r="A401" s="50">
        <v>45820</v>
      </c>
      <c r="B401" s="51">
        <v>0.4855902777777778</v>
      </c>
      <c r="C401" t="s">
        <v>151</v>
      </c>
      <c r="D401" t="s">
        <v>160</v>
      </c>
      <c r="E401" t="s">
        <v>47</v>
      </c>
      <c r="F401" t="s">
        <v>163</v>
      </c>
      <c r="G401">
        <v>-10000</v>
      </c>
      <c r="H401" t="s">
        <v>147</v>
      </c>
      <c r="I401" t="s">
        <v>57</v>
      </c>
    </row>
    <row r="402" spans="1:9">
      <c r="A402" s="50">
        <v>45820</v>
      </c>
      <c r="B402" s="51">
        <v>0.4855902777777778</v>
      </c>
      <c r="C402" t="s">
        <v>151</v>
      </c>
      <c r="D402" t="s">
        <v>160</v>
      </c>
      <c r="E402" t="s">
        <v>47</v>
      </c>
      <c r="F402" t="s">
        <v>161</v>
      </c>
      <c r="G402">
        <v>10000</v>
      </c>
      <c r="H402" t="s">
        <v>147</v>
      </c>
      <c r="I402" t="s">
        <v>162</v>
      </c>
    </row>
    <row r="403" spans="1:9">
      <c r="A403" s="50">
        <v>45820</v>
      </c>
      <c r="B403" s="51">
        <v>0.3930902777777778</v>
      </c>
      <c r="C403" t="s">
        <v>151</v>
      </c>
      <c r="D403" t="s">
        <v>160</v>
      </c>
      <c r="E403" t="s">
        <v>47</v>
      </c>
      <c r="F403" t="s">
        <v>7</v>
      </c>
      <c r="G403">
        <v>2000000</v>
      </c>
      <c r="H403" t="s">
        <v>147</v>
      </c>
      <c r="I403" t="s">
        <v>61</v>
      </c>
    </row>
    <row r="404" spans="1:9">
      <c r="A404" s="50">
        <v>45820</v>
      </c>
      <c r="B404" s="51">
        <v>0.3930902777777778</v>
      </c>
      <c r="C404" t="s">
        <v>151</v>
      </c>
      <c r="D404" t="s">
        <v>160</v>
      </c>
      <c r="E404" t="s">
        <v>47</v>
      </c>
      <c r="F404" t="s">
        <v>7</v>
      </c>
      <c r="G404">
        <v>-2000000</v>
      </c>
      <c r="H404" t="s">
        <v>147</v>
      </c>
      <c r="I404" t="s">
        <v>57</v>
      </c>
    </row>
    <row r="405" spans="1:9">
      <c r="A405" s="50">
        <v>45820</v>
      </c>
      <c r="B405" s="51">
        <v>0.3771759259259259</v>
      </c>
      <c r="C405" t="s">
        <v>145</v>
      </c>
      <c r="D405" t="s">
        <v>42</v>
      </c>
      <c r="E405" t="s">
        <v>47</v>
      </c>
      <c r="F405" t="s">
        <v>229</v>
      </c>
      <c r="G405">
        <v>-400000</v>
      </c>
      <c r="H405" t="s">
        <v>147</v>
      </c>
      <c r="I405" t="s">
        <v>57</v>
      </c>
    </row>
    <row r="406" spans="1:9">
      <c r="A406" s="50">
        <v>45820</v>
      </c>
      <c r="B406" s="51">
        <v>0.3637268518518518</v>
      </c>
      <c r="C406" t="s">
        <v>151</v>
      </c>
      <c r="D406" t="s">
        <v>198</v>
      </c>
      <c r="E406" t="s">
        <v>47</v>
      </c>
      <c r="F406" t="s">
        <v>213</v>
      </c>
      <c r="G406">
        <v>1457090</v>
      </c>
      <c r="H406" t="s">
        <v>147</v>
      </c>
      <c r="I406" t="s">
        <v>57</v>
      </c>
    </row>
    <row r="407" spans="1:9">
      <c r="A407" s="50">
        <v>45820</v>
      </c>
      <c r="B407" s="51">
        <v>0.3634722222222222</v>
      </c>
      <c r="C407" t="s">
        <v>151</v>
      </c>
      <c r="D407" t="s">
        <v>198</v>
      </c>
      <c r="E407" t="s">
        <v>47</v>
      </c>
      <c r="F407" t="s">
        <v>213</v>
      </c>
      <c r="G407">
        <v>1893930</v>
      </c>
      <c r="H407" t="s">
        <v>147</v>
      </c>
      <c r="I407" t="s">
        <v>57</v>
      </c>
    </row>
    <row r="408" spans="1:9">
      <c r="A408" s="50">
        <v>45819</v>
      </c>
      <c r="B408" s="51">
        <v>0.7738541666666666</v>
      </c>
      <c r="C408" t="s">
        <v>145</v>
      </c>
      <c r="D408" t="s">
        <v>40</v>
      </c>
      <c r="E408" t="s">
        <v>47</v>
      </c>
      <c r="F408" t="s">
        <v>308</v>
      </c>
      <c r="G408">
        <v>-5200</v>
      </c>
      <c r="H408" t="s">
        <v>147</v>
      </c>
      <c r="I408" t="s">
        <v>165</v>
      </c>
    </row>
    <row r="409" spans="1:9">
      <c r="A409" s="50">
        <v>45819</v>
      </c>
      <c r="B409" s="51">
        <v>0.7348148148148148</v>
      </c>
      <c r="C409" t="s">
        <v>145</v>
      </c>
      <c r="D409" t="s">
        <v>34</v>
      </c>
      <c r="E409" t="s">
        <v>47</v>
      </c>
      <c r="F409" t="s">
        <v>146</v>
      </c>
      <c r="G409">
        <v>-1700</v>
      </c>
      <c r="H409" t="s">
        <v>147</v>
      </c>
      <c r="I409" t="s">
        <v>148</v>
      </c>
    </row>
    <row r="410" spans="1:9">
      <c r="A410" s="50">
        <v>45819</v>
      </c>
      <c r="B410" s="51">
        <v>0.6430208333333334</v>
      </c>
      <c r="C410" t="s">
        <v>151</v>
      </c>
      <c r="D410" t="s">
        <v>198</v>
      </c>
      <c r="E410" t="s">
        <v>47</v>
      </c>
      <c r="F410" t="s">
        <v>309</v>
      </c>
      <c r="G410">
        <v>300000</v>
      </c>
      <c r="H410" t="s">
        <v>147</v>
      </c>
      <c r="I410" t="s">
        <v>57</v>
      </c>
    </row>
    <row r="411" spans="1:9">
      <c r="A411" s="50">
        <v>45819</v>
      </c>
      <c r="B411" s="51">
        <v>0.4662152777777778</v>
      </c>
      <c r="C411" t="s">
        <v>145</v>
      </c>
      <c r="D411" t="s">
        <v>35</v>
      </c>
      <c r="E411" t="s">
        <v>204</v>
      </c>
      <c r="F411" t="s">
        <v>310</v>
      </c>
      <c r="G411">
        <v>-10000</v>
      </c>
      <c r="H411" t="s">
        <v>147</v>
      </c>
      <c r="I411" t="s">
        <v>57</v>
      </c>
    </row>
    <row r="412" spans="1:9">
      <c r="A412" s="50">
        <v>45819</v>
      </c>
      <c r="B412" s="51">
        <v>0.2917476851851852</v>
      </c>
      <c r="C412" t="s">
        <v>145</v>
      </c>
      <c r="D412" t="s">
        <v>34</v>
      </c>
      <c r="E412" t="s">
        <v>47</v>
      </c>
      <c r="F412" t="s">
        <v>146</v>
      </c>
      <c r="G412">
        <v>-1700</v>
      </c>
      <c r="H412" t="s">
        <v>147</v>
      </c>
      <c r="I412" t="s">
        <v>148</v>
      </c>
    </row>
    <row r="413" spans="1:9">
      <c r="A413" s="50">
        <v>45818</v>
      </c>
      <c r="B413" s="51">
        <v>0.7952430555555555</v>
      </c>
      <c r="C413" t="s">
        <v>145</v>
      </c>
      <c r="D413" t="s">
        <v>38</v>
      </c>
      <c r="E413" t="s">
        <v>47</v>
      </c>
      <c r="F413" t="s">
        <v>155</v>
      </c>
      <c r="G413">
        <v>-32820</v>
      </c>
      <c r="H413" t="s">
        <v>147</v>
      </c>
      <c r="I413" t="s">
        <v>148</v>
      </c>
    </row>
    <row r="414" spans="1:9">
      <c r="A414" s="50">
        <v>45818</v>
      </c>
      <c r="B414" s="51">
        <v>0.7928009259259259</v>
      </c>
      <c r="C414" t="s">
        <v>151</v>
      </c>
      <c r="D414" t="s">
        <v>160</v>
      </c>
      <c r="E414" t="s">
        <v>47</v>
      </c>
      <c r="F414" t="s">
        <v>7</v>
      </c>
      <c r="G414">
        <v>30000</v>
      </c>
      <c r="H414" t="s">
        <v>147</v>
      </c>
      <c r="I414" t="s">
        <v>57</v>
      </c>
    </row>
    <row r="415" spans="1:9">
      <c r="A415" s="50">
        <v>45818</v>
      </c>
      <c r="B415" s="51">
        <v>0.7361458333333334</v>
      </c>
      <c r="C415" t="s">
        <v>145</v>
      </c>
      <c r="D415" t="s">
        <v>34</v>
      </c>
      <c r="E415" t="s">
        <v>47</v>
      </c>
      <c r="F415" t="s">
        <v>146</v>
      </c>
      <c r="G415">
        <v>-1700</v>
      </c>
      <c r="H415" t="s">
        <v>147</v>
      </c>
      <c r="I415" t="s">
        <v>148</v>
      </c>
    </row>
    <row r="416" spans="1:9">
      <c r="A416" s="50">
        <v>45818</v>
      </c>
      <c r="B416" s="51">
        <v>0.2882523148148148</v>
      </c>
      <c r="C416" t="s">
        <v>145</v>
      </c>
      <c r="D416" t="s">
        <v>34</v>
      </c>
      <c r="E416" t="s">
        <v>47</v>
      </c>
      <c r="F416" t="s">
        <v>146</v>
      </c>
      <c r="G416">
        <v>-1700</v>
      </c>
      <c r="H416" t="s">
        <v>147</v>
      </c>
      <c r="I416" t="s">
        <v>148</v>
      </c>
    </row>
    <row r="417" spans="1:9">
      <c r="A417" s="50">
        <v>45817</v>
      </c>
      <c r="B417" s="51">
        <v>0.7627777777777778</v>
      </c>
      <c r="C417" t="s">
        <v>151</v>
      </c>
      <c r="D417" t="s">
        <v>236</v>
      </c>
      <c r="E417" t="s">
        <v>47</v>
      </c>
      <c r="F417" t="s">
        <v>237</v>
      </c>
      <c r="G417">
        <v>-54300</v>
      </c>
      <c r="H417" t="s">
        <v>147</v>
      </c>
      <c r="I417" t="s">
        <v>57</v>
      </c>
    </row>
    <row r="418" spans="1:9">
      <c r="A418" s="50">
        <v>45816</v>
      </c>
      <c r="B418" s="51">
        <v>0.4887847222222222</v>
      </c>
      <c r="C418" t="s">
        <v>145</v>
      </c>
      <c r="D418" t="s">
        <v>38</v>
      </c>
      <c r="E418" t="s">
        <v>47</v>
      </c>
      <c r="F418" t="s">
        <v>218</v>
      </c>
      <c r="G418">
        <v>-19960</v>
      </c>
      <c r="H418" t="s">
        <v>147</v>
      </c>
      <c r="I418" t="s">
        <v>165</v>
      </c>
    </row>
    <row r="419" spans="1:9">
      <c r="A419" s="50">
        <v>45816</v>
      </c>
      <c r="B419" s="51">
        <v>0.4169097222222222</v>
      </c>
      <c r="C419" t="s">
        <v>145</v>
      </c>
      <c r="D419" t="s">
        <v>42</v>
      </c>
      <c r="E419" t="s">
        <v>47</v>
      </c>
      <c r="F419" t="s">
        <v>153</v>
      </c>
      <c r="G419">
        <v>-39000</v>
      </c>
      <c r="H419" t="s">
        <v>147</v>
      </c>
      <c r="I419" t="s">
        <v>154</v>
      </c>
    </row>
    <row r="420" spans="1:9">
      <c r="A420" s="50">
        <v>45815</v>
      </c>
      <c r="B420" s="51">
        <v>0.9297222222222222</v>
      </c>
      <c r="C420" t="s">
        <v>145</v>
      </c>
      <c r="D420" t="s">
        <v>38</v>
      </c>
      <c r="E420" t="s">
        <v>47</v>
      </c>
      <c r="F420" t="s">
        <v>311</v>
      </c>
      <c r="G420">
        <v>-10700</v>
      </c>
      <c r="H420" t="s">
        <v>147</v>
      </c>
      <c r="I420" t="s">
        <v>148</v>
      </c>
    </row>
    <row r="421" spans="1:9">
      <c r="A421" s="50">
        <v>45815</v>
      </c>
      <c r="B421" s="51">
        <v>0.6541319444444444</v>
      </c>
      <c r="C421" t="s">
        <v>145</v>
      </c>
      <c r="D421" t="s">
        <v>34</v>
      </c>
      <c r="E421" t="s">
        <v>47</v>
      </c>
      <c r="F421" t="s">
        <v>146</v>
      </c>
      <c r="G421">
        <v>-1400</v>
      </c>
      <c r="H421" t="s">
        <v>147</v>
      </c>
      <c r="I421" t="s">
        <v>148</v>
      </c>
    </row>
    <row r="422" spans="1:9">
      <c r="A422" s="50">
        <v>45815</v>
      </c>
      <c r="B422" s="51">
        <v>0.5851388888888889</v>
      </c>
      <c r="C422" t="s">
        <v>151</v>
      </c>
      <c r="D422" t="s">
        <v>151</v>
      </c>
      <c r="E422" t="s">
        <v>47</v>
      </c>
      <c r="F422" t="s">
        <v>163</v>
      </c>
      <c r="G422">
        <v>-100000</v>
      </c>
      <c r="H422" t="s">
        <v>147</v>
      </c>
      <c r="I422" t="s">
        <v>57</v>
      </c>
    </row>
    <row r="423" spans="1:9">
      <c r="A423" s="50">
        <v>45815</v>
      </c>
      <c r="B423" s="51">
        <v>0.5088078703703703</v>
      </c>
      <c r="C423" t="s">
        <v>151</v>
      </c>
      <c r="D423" t="s">
        <v>151</v>
      </c>
      <c r="E423" t="s">
        <v>47</v>
      </c>
      <c r="F423" t="s">
        <v>163</v>
      </c>
      <c r="G423">
        <v>-100000</v>
      </c>
      <c r="H423" t="s">
        <v>147</v>
      </c>
      <c r="I423" t="s">
        <v>57</v>
      </c>
    </row>
    <row r="424" spans="1:9">
      <c r="A424" s="50">
        <v>45814</v>
      </c>
      <c r="B424" s="51">
        <v>0.9944907407407407</v>
      </c>
      <c r="C424" t="s">
        <v>145</v>
      </c>
      <c r="D424" t="s">
        <v>42</v>
      </c>
      <c r="E424" t="s">
        <v>47</v>
      </c>
      <c r="F424" t="s">
        <v>253</v>
      </c>
      <c r="G424">
        <v>-19500</v>
      </c>
      <c r="H424" t="s">
        <v>147</v>
      </c>
      <c r="I424" t="s">
        <v>148</v>
      </c>
    </row>
    <row r="425" spans="1:9">
      <c r="A425" s="50">
        <v>45814</v>
      </c>
      <c r="B425" s="51">
        <v>0.4441898148148148</v>
      </c>
      <c r="C425" t="s">
        <v>145</v>
      </c>
      <c r="D425" t="s">
        <v>42</v>
      </c>
      <c r="E425" t="s">
        <v>47</v>
      </c>
      <c r="F425" t="s">
        <v>158</v>
      </c>
      <c r="G425">
        <v>-60000</v>
      </c>
      <c r="H425" t="s">
        <v>147</v>
      </c>
      <c r="I425" t="s">
        <v>57</v>
      </c>
    </row>
    <row r="426" spans="1:9">
      <c r="A426" s="50">
        <v>45814</v>
      </c>
      <c r="B426" s="51">
        <v>0.4435185185185185</v>
      </c>
      <c r="C426" t="s">
        <v>145</v>
      </c>
      <c r="D426" t="s">
        <v>42</v>
      </c>
      <c r="E426" t="s">
        <v>47</v>
      </c>
      <c r="F426" t="s">
        <v>158</v>
      </c>
      <c r="G426">
        <v>-30000</v>
      </c>
      <c r="H426" t="s">
        <v>147</v>
      </c>
      <c r="I426" t="s">
        <v>57</v>
      </c>
    </row>
    <row r="427" spans="1:9">
      <c r="A427" s="50">
        <v>45814</v>
      </c>
      <c r="B427" s="51">
        <v>0.295474537037037</v>
      </c>
      <c r="C427" t="s">
        <v>145</v>
      </c>
      <c r="D427" t="s">
        <v>34</v>
      </c>
      <c r="E427" t="s">
        <v>47</v>
      </c>
      <c r="F427" t="s">
        <v>146</v>
      </c>
      <c r="G427">
        <v>-1700</v>
      </c>
      <c r="H427" t="s">
        <v>147</v>
      </c>
      <c r="I427" t="s">
        <v>148</v>
      </c>
    </row>
    <row r="428" spans="1:9">
      <c r="A428" s="50">
        <v>45813</v>
      </c>
      <c r="B428" s="51">
        <v>0.8225231481481482</v>
      </c>
      <c r="C428" t="s">
        <v>145</v>
      </c>
      <c r="D428" t="s">
        <v>34</v>
      </c>
      <c r="E428" t="s">
        <v>47</v>
      </c>
      <c r="F428" t="s">
        <v>146</v>
      </c>
      <c r="G428">
        <v>-1700</v>
      </c>
      <c r="H428" t="s">
        <v>147</v>
      </c>
      <c r="I428" t="s">
        <v>148</v>
      </c>
    </row>
    <row r="429" spans="1:9">
      <c r="A429" s="50">
        <v>45813</v>
      </c>
      <c r="B429" s="51">
        <v>0.2911805555555556</v>
      </c>
      <c r="C429" t="s">
        <v>145</v>
      </c>
      <c r="D429" t="s">
        <v>34</v>
      </c>
      <c r="E429" t="s">
        <v>47</v>
      </c>
      <c r="F429" t="s">
        <v>146</v>
      </c>
      <c r="G429">
        <v>-1700</v>
      </c>
      <c r="H429" t="s">
        <v>147</v>
      </c>
      <c r="I429" t="s">
        <v>148</v>
      </c>
    </row>
    <row r="430" spans="1:9">
      <c r="A430" s="50">
        <v>45813</v>
      </c>
      <c r="B430" s="51">
        <v>0.2421064814814815</v>
      </c>
      <c r="C430" t="s">
        <v>145</v>
      </c>
      <c r="D430" t="s">
        <v>47</v>
      </c>
      <c r="E430" t="s">
        <v>47</v>
      </c>
      <c r="F430" t="s">
        <v>312</v>
      </c>
      <c r="G430">
        <v>-6500</v>
      </c>
      <c r="H430" t="s">
        <v>147</v>
      </c>
      <c r="I430" t="s">
        <v>165</v>
      </c>
    </row>
    <row r="431" spans="1:9">
      <c r="A431" s="50">
        <v>45813</v>
      </c>
      <c r="B431" s="51">
        <v>0.2421064814814815</v>
      </c>
      <c r="C431" t="s">
        <v>145</v>
      </c>
      <c r="D431" t="s">
        <v>34</v>
      </c>
      <c r="E431" t="s">
        <v>47</v>
      </c>
      <c r="F431" t="s">
        <v>313</v>
      </c>
      <c r="G431">
        <v>-3400</v>
      </c>
      <c r="H431" t="s">
        <v>147</v>
      </c>
      <c r="I431" t="s">
        <v>165</v>
      </c>
    </row>
    <row r="432" spans="1:9">
      <c r="A432" s="50">
        <v>45813</v>
      </c>
      <c r="B432" s="51">
        <v>0.2421064814814815</v>
      </c>
      <c r="C432" t="s">
        <v>145</v>
      </c>
      <c r="D432" t="s">
        <v>34</v>
      </c>
      <c r="E432" t="s">
        <v>47</v>
      </c>
      <c r="F432" t="s">
        <v>314</v>
      </c>
      <c r="G432">
        <v>-1500</v>
      </c>
      <c r="H432" t="s">
        <v>147</v>
      </c>
      <c r="I432" t="s">
        <v>165</v>
      </c>
    </row>
    <row r="433" spans="1:9">
      <c r="A433" s="50">
        <v>45813</v>
      </c>
      <c r="B433" s="51">
        <v>0.2421064814814815</v>
      </c>
      <c r="C433" t="s">
        <v>145</v>
      </c>
      <c r="D433" t="s">
        <v>34</v>
      </c>
      <c r="E433" t="s">
        <v>47</v>
      </c>
      <c r="F433" t="s">
        <v>315</v>
      </c>
      <c r="G433">
        <v>-300</v>
      </c>
      <c r="H433" t="s">
        <v>147</v>
      </c>
      <c r="I433" t="s">
        <v>165</v>
      </c>
    </row>
    <row r="434" spans="1:9">
      <c r="A434" s="50">
        <v>45812</v>
      </c>
      <c r="B434" s="51">
        <v>0.6828587962962963</v>
      </c>
      <c r="C434" t="s">
        <v>145</v>
      </c>
      <c r="D434" t="s">
        <v>34</v>
      </c>
      <c r="E434" t="s">
        <v>47</v>
      </c>
      <c r="F434" t="s">
        <v>244</v>
      </c>
      <c r="G434">
        <v>-1500</v>
      </c>
      <c r="H434" t="s">
        <v>147</v>
      </c>
      <c r="I434" t="s">
        <v>148</v>
      </c>
    </row>
    <row r="435" spans="1:9">
      <c r="A435" s="50">
        <v>45811</v>
      </c>
      <c r="B435" s="51">
        <v>0.7823842592592593</v>
      </c>
      <c r="C435" t="s">
        <v>145</v>
      </c>
      <c r="D435" t="s">
        <v>45</v>
      </c>
      <c r="E435" t="s">
        <v>47</v>
      </c>
      <c r="F435" t="s">
        <v>316</v>
      </c>
      <c r="G435">
        <v>-8800</v>
      </c>
      <c r="H435" t="s">
        <v>147</v>
      </c>
      <c r="I435" t="s">
        <v>165</v>
      </c>
    </row>
    <row r="436" spans="1:9">
      <c r="A436" s="50">
        <v>45811</v>
      </c>
      <c r="B436" s="51">
        <v>0.7470949074074074</v>
      </c>
      <c r="C436" t="s">
        <v>145</v>
      </c>
      <c r="D436" t="s">
        <v>40</v>
      </c>
      <c r="E436" t="s">
        <v>47</v>
      </c>
      <c r="F436" t="s">
        <v>317</v>
      </c>
      <c r="G436">
        <v>-50500</v>
      </c>
      <c r="H436" t="s">
        <v>147</v>
      </c>
      <c r="I436" t="s">
        <v>165</v>
      </c>
    </row>
    <row r="437" spans="1:9">
      <c r="A437" s="50">
        <v>45811</v>
      </c>
      <c r="B437" s="51">
        <v>0.7360763888888889</v>
      </c>
      <c r="C437" t="s">
        <v>145</v>
      </c>
      <c r="D437" t="s">
        <v>34</v>
      </c>
      <c r="E437" t="s">
        <v>47</v>
      </c>
      <c r="F437" t="s">
        <v>146</v>
      </c>
      <c r="G437">
        <v>-1700</v>
      </c>
      <c r="H437" t="s">
        <v>147</v>
      </c>
      <c r="I437" t="s">
        <v>148</v>
      </c>
    </row>
    <row r="438" spans="1:9">
      <c r="A438" s="50">
        <v>45811</v>
      </c>
      <c r="B438" s="51">
        <v>0.2931365740740741</v>
      </c>
      <c r="C438" t="s">
        <v>145</v>
      </c>
      <c r="D438" t="s">
        <v>34</v>
      </c>
      <c r="E438" t="s">
        <v>47</v>
      </c>
      <c r="F438" t="s">
        <v>146</v>
      </c>
      <c r="G438">
        <v>-1700</v>
      </c>
      <c r="H438" t="s">
        <v>147</v>
      </c>
      <c r="I438" t="s">
        <v>148</v>
      </c>
    </row>
    <row r="439" spans="1:9">
      <c r="A439" s="50">
        <v>45811</v>
      </c>
      <c r="B439" s="51">
        <v>0</v>
      </c>
      <c r="C439" t="s">
        <v>145</v>
      </c>
      <c r="D439" t="s">
        <v>42</v>
      </c>
      <c r="E439" t="s">
        <v>47</v>
      </c>
      <c r="F439" t="s">
        <v>318</v>
      </c>
      <c r="G439">
        <v>9000</v>
      </c>
      <c r="H439" t="s">
        <v>147</v>
      </c>
      <c r="I439" t="s">
        <v>148</v>
      </c>
    </row>
    <row r="440" spans="1:9">
      <c r="A440" s="50">
        <v>45810</v>
      </c>
      <c r="B440" s="51">
        <v>0.8332291666666667</v>
      </c>
      <c r="C440" t="s">
        <v>145</v>
      </c>
      <c r="D440" t="s">
        <v>42</v>
      </c>
      <c r="E440" t="s">
        <v>47</v>
      </c>
      <c r="F440" t="s">
        <v>318</v>
      </c>
      <c r="G440">
        <v>9000</v>
      </c>
      <c r="H440" t="s">
        <v>147</v>
      </c>
      <c r="I440" t="s">
        <v>148</v>
      </c>
    </row>
    <row r="441" spans="1:9">
      <c r="A441" s="50">
        <v>45810</v>
      </c>
      <c r="B441" s="51">
        <v>0.5619791666666667</v>
      </c>
      <c r="C441" t="s">
        <v>145</v>
      </c>
      <c r="D441" t="s">
        <v>42</v>
      </c>
      <c r="E441" t="s">
        <v>47</v>
      </c>
      <c r="F441" t="s">
        <v>219</v>
      </c>
      <c r="G441">
        <v>-26360</v>
      </c>
      <c r="H441" t="s">
        <v>147</v>
      </c>
      <c r="I441" t="s">
        <v>148</v>
      </c>
    </row>
    <row r="442" spans="1:9">
      <c r="A442" s="50">
        <v>45809</v>
      </c>
      <c r="B442" s="51">
        <v>0.666712962962963</v>
      </c>
      <c r="C442" t="s">
        <v>145</v>
      </c>
      <c r="D442" t="s">
        <v>38</v>
      </c>
      <c r="E442" t="s">
        <v>47</v>
      </c>
      <c r="F442" t="s">
        <v>251</v>
      </c>
      <c r="G442">
        <v>-111500</v>
      </c>
      <c r="H442" t="s">
        <v>147</v>
      </c>
      <c r="I442" t="s">
        <v>165</v>
      </c>
    </row>
    <row r="443" spans="1:9">
      <c r="A443" s="50">
        <v>45809</v>
      </c>
      <c r="B443" s="51">
        <v>0.5227662037037037</v>
      </c>
      <c r="C443" t="s">
        <v>151</v>
      </c>
      <c r="D443" t="s">
        <v>160</v>
      </c>
      <c r="E443" t="s">
        <v>47</v>
      </c>
      <c r="F443" t="s">
        <v>7</v>
      </c>
      <c r="G443">
        <v>-100000</v>
      </c>
      <c r="H443" t="s">
        <v>147</v>
      </c>
      <c r="I443" t="s">
        <v>57</v>
      </c>
    </row>
    <row r="444" spans="1:9">
      <c r="A444" s="50">
        <v>45809</v>
      </c>
      <c r="B444" s="51">
        <v>0.5188425925925926</v>
      </c>
      <c r="C444" t="s">
        <v>151</v>
      </c>
      <c r="D444" t="s">
        <v>47</v>
      </c>
      <c r="E444" t="s">
        <v>47</v>
      </c>
      <c r="F444" t="s">
        <v>319</v>
      </c>
      <c r="G444">
        <v>1</v>
      </c>
      <c r="H444" t="s">
        <v>147</v>
      </c>
      <c r="I444" t="s">
        <v>57</v>
      </c>
    </row>
    <row r="445" spans="1:9">
      <c r="A445" s="50">
        <v>45809</v>
      </c>
      <c r="B445" s="51">
        <v>0.4731828703703704</v>
      </c>
      <c r="C445" t="s">
        <v>145</v>
      </c>
      <c r="D445" t="s">
        <v>45</v>
      </c>
      <c r="E445" t="s">
        <v>47</v>
      </c>
      <c r="F445" t="s">
        <v>320</v>
      </c>
      <c r="G445">
        <v>-32400</v>
      </c>
      <c r="H445" t="s">
        <v>147</v>
      </c>
      <c r="I445" t="s">
        <v>165</v>
      </c>
    </row>
    <row r="446" spans="1:9">
      <c r="A446" s="50">
        <v>45808</v>
      </c>
      <c r="B446" s="51">
        <v>0.727662037037037</v>
      </c>
      <c r="C446" t="s">
        <v>145</v>
      </c>
      <c r="D446" t="s">
        <v>34</v>
      </c>
      <c r="E446" t="s">
        <v>47</v>
      </c>
      <c r="F446" t="s">
        <v>146</v>
      </c>
      <c r="G446">
        <v>-1700</v>
      </c>
      <c r="H446" t="s">
        <v>147</v>
      </c>
      <c r="I446" t="s">
        <v>148</v>
      </c>
    </row>
    <row r="447" spans="1:9">
      <c r="A447" s="50">
        <v>45808</v>
      </c>
      <c r="B447" s="51">
        <v>0.7068171296296296</v>
      </c>
      <c r="C447" t="s">
        <v>151</v>
      </c>
      <c r="D447" t="s">
        <v>160</v>
      </c>
      <c r="E447" t="s">
        <v>47</v>
      </c>
      <c r="F447" t="s">
        <v>7</v>
      </c>
      <c r="G447">
        <v>-500000</v>
      </c>
      <c r="H447" t="s">
        <v>147</v>
      </c>
      <c r="I447" t="s">
        <v>61</v>
      </c>
    </row>
    <row r="448" spans="1:9">
      <c r="A448" s="50">
        <v>45808</v>
      </c>
      <c r="B448" s="51">
        <v>0.7068171296296296</v>
      </c>
      <c r="C448" t="s">
        <v>151</v>
      </c>
      <c r="D448" t="s">
        <v>160</v>
      </c>
      <c r="E448" t="s">
        <v>47</v>
      </c>
      <c r="F448" t="s">
        <v>7</v>
      </c>
      <c r="G448">
        <v>500000</v>
      </c>
      <c r="H448" t="s">
        <v>147</v>
      </c>
      <c r="I448" t="s">
        <v>57</v>
      </c>
    </row>
    <row r="449" spans="1:9">
      <c r="A449" s="50">
        <v>45808</v>
      </c>
      <c r="B449" s="51">
        <v>0.6851851851851852</v>
      </c>
      <c r="C449" t="s">
        <v>145</v>
      </c>
      <c r="D449" t="s">
        <v>37</v>
      </c>
      <c r="E449" t="s">
        <v>47</v>
      </c>
      <c r="F449" t="s">
        <v>321</v>
      </c>
      <c r="G449">
        <v>-6500</v>
      </c>
      <c r="H449" t="s">
        <v>147</v>
      </c>
      <c r="I449" t="s">
        <v>148</v>
      </c>
    </row>
    <row r="450" spans="1:9">
      <c r="A450" s="50">
        <v>45808</v>
      </c>
      <c r="B450" s="51">
        <v>0.2952662037037037</v>
      </c>
      <c r="C450" t="s">
        <v>145</v>
      </c>
      <c r="D450" t="s">
        <v>34</v>
      </c>
      <c r="E450" t="s">
        <v>47</v>
      </c>
      <c r="F450" t="s">
        <v>146</v>
      </c>
      <c r="G450">
        <v>-1700</v>
      </c>
      <c r="H450" t="s">
        <v>147</v>
      </c>
      <c r="I450" t="s">
        <v>148</v>
      </c>
    </row>
    <row r="451" spans="1:9">
      <c r="A451" s="50">
        <v>45807</v>
      </c>
      <c r="B451" s="51">
        <v>0.7865740740740741</v>
      </c>
      <c r="C451" t="s">
        <v>145</v>
      </c>
      <c r="D451" t="s">
        <v>38</v>
      </c>
      <c r="E451" t="s">
        <v>47</v>
      </c>
      <c r="F451" t="s">
        <v>218</v>
      </c>
      <c r="G451">
        <v>-29990</v>
      </c>
      <c r="H451" t="s">
        <v>147</v>
      </c>
      <c r="I451" t="s">
        <v>165</v>
      </c>
    </row>
    <row r="452" spans="1:9">
      <c r="A452" s="50">
        <v>45807</v>
      </c>
      <c r="B452" s="51">
        <v>0.7367592592592592</v>
      </c>
      <c r="C452" t="s">
        <v>145</v>
      </c>
      <c r="D452" t="s">
        <v>34</v>
      </c>
      <c r="E452" t="s">
        <v>47</v>
      </c>
      <c r="F452" t="s">
        <v>146</v>
      </c>
      <c r="G452">
        <v>-1700</v>
      </c>
      <c r="H452" t="s">
        <v>147</v>
      </c>
      <c r="I452" t="s">
        <v>148</v>
      </c>
    </row>
    <row r="453" spans="1:9">
      <c r="A453" s="50">
        <v>45807</v>
      </c>
      <c r="B453" s="51">
        <v>0.2869675925925926</v>
      </c>
      <c r="C453" t="s">
        <v>145</v>
      </c>
      <c r="D453" t="s">
        <v>34</v>
      </c>
      <c r="E453" t="s">
        <v>47</v>
      </c>
      <c r="F453" t="s">
        <v>146</v>
      </c>
      <c r="G453">
        <v>-1700</v>
      </c>
      <c r="H453" t="s">
        <v>147</v>
      </c>
      <c r="I453" t="s">
        <v>148</v>
      </c>
    </row>
    <row r="454" spans="1:9">
      <c r="A454" s="50">
        <v>45806</v>
      </c>
      <c r="B454" s="51">
        <v>0.8580787037037036</v>
      </c>
      <c r="C454" t="s">
        <v>145</v>
      </c>
      <c r="D454" t="s">
        <v>43</v>
      </c>
      <c r="E454" t="s">
        <v>47</v>
      </c>
      <c r="F454" t="s">
        <v>322</v>
      </c>
      <c r="G454">
        <v>-98000</v>
      </c>
      <c r="H454" t="s">
        <v>147</v>
      </c>
      <c r="I454" t="s">
        <v>154</v>
      </c>
    </row>
    <row r="455" spans="1:9">
      <c r="A455" s="50">
        <v>45806</v>
      </c>
      <c r="B455" s="51">
        <v>0.8580787037037036</v>
      </c>
      <c r="C455" t="s">
        <v>145</v>
      </c>
      <c r="D455" t="s">
        <v>43</v>
      </c>
      <c r="E455" t="s">
        <v>47</v>
      </c>
      <c r="F455" t="s">
        <v>322</v>
      </c>
      <c r="G455">
        <v>-98000</v>
      </c>
      <c r="H455" t="s">
        <v>147</v>
      </c>
      <c r="I455" t="s">
        <v>162</v>
      </c>
    </row>
    <row r="456" spans="1:9">
      <c r="A456" s="50">
        <v>45806</v>
      </c>
      <c r="B456" s="51">
        <v>0.8576967592592593</v>
      </c>
      <c r="C456" t="s">
        <v>151</v>
      </c>
      <c r="D456" t="s">
        <v>160</v>
      </c>
      <c r="E456" t="s">
        <v>47</v>
      </c>
      <c r="F456" t="s">
        <v>7</v>
      </c>
      <c r="G456">
        <v>-150000</v>
      </c>
      <c r="H456" t="s">
        <v>147</v>
      </c>
      <c r="I456" t="s">
        <v>61</v>
      </c>
    </row>
    <row r="457" spans="1:9">
      <c r="A457" s="50">
        <v>45806</v>
      </c>
      <c r="B457" s="51">
        <v>0.8576967592592593</v>
      </c>
      <c r="C457" t="s">
        <v>151</v>
      </c>
      <c r="D457" t="s">
        <v>160</v>
      </c>
      <c r="E457" t="s">
        <v>47</v>
      </c>
      <c r="F457" t="s">
        <v>7</v>
      </c>
      <c r="G457">
        <v>150000</v>
      </c>
      <c r="H457" t="s">
        <v>147</v>
      </c>
      <c r="I457" t="s">
        <v>57</v>
      </c>
    </row>
    <row r="458" spans="1:9">
      <c r="A458" s="50">
        <v>45806</v>
      </c>
      <c r="B458" s="51">
        <v>0.738287037037037</v>
      </c>
      <c r="C458" t="s">
        <v>145</v>
      </c>
      <c r="D458" t="s">
        <v>34</v>
      </c>
      <c r="E458" t="s">
        <v>47</v>
      </c>
      <c r="F458" t="s">
        <v>146</v>
      </c>
      <c r="G458">
        <v>-1700</v>
      </c>
      <c r="H458" t="s">
        <v>147</v>
      </c>
      <c r="I458" t="s">
        <v>148</v>
      </c>
    </row>
    <row r="459" spans="1:9">
      <c r="A459" s="50">
        <v>45806</v>
      </c>
      <c r="B459" s="51">
        <v>0.2877083333333333</v>
      </c>
      <c r="C459" t="s">
        <v>145</v>
      </c>
      <c r="D459" t="s">
        <v>34</v>
      </c>
      <c r="E459" t="s">
        <v>47</v>
      </c>
      <c r="F459" t="s">
        <v>146</v>
      </c>
      <c r="G459">
        <v>-1700</v>
      </c>
      <c r="H459" t="s">
        <v>147</v>
      </c>
      <c r="I459" t="s">
        <v>148</v>
      </c>
    </row>
    <row r="460" spans="1:9">
      <c r="A460" s="50">
        <v>45805</v>
      </c>
      <c r="B460" s="51">
        <v>0.6097453703703704</v>
      </c>
      <c r="C460" t="s">
        <v>145</v>
      </c>
      <c r="D460" t="s">
        <v>42</v>
      </c>
      <c r="E460" t="s">
        <v>47</v>
      </c>
      <c r="F460" t="s">
        <v>323</v>
      </c>
      <c r="G460">
        <v>-60000</v>
      </c>
      <c r="H460" t="s">
        <v>147</v>
      </c>
      <c r="I460" t="s">
        <v>148</v>
      </c>
    </row>
    <row r="461" spans="1:9">
      <c r="A461" s="50">
        <v>45805</v>
      </c>
      <c r="B461" s="51">
        <v>0.5410185185185186</v>
      </c>
      <c r="C461" t="s">
        <v>145</v>
      </c>
      <c r="D461" t="s">
        <v>42</v>
      </c>
      <c r="E461" t="s">
        <v>47</v>
      </c>
      <c r="F461" t="s">
        <v>318</v>
      </c>
      <c r="G461">
        <v>-9000</v>
      </c>
      <c r="H461" t="s">
        <v>147</v>
      </c>
      <c r="I461" t="s">
        <v>148</v>
      </c>
    </row>
    <row r="462" spans="1:9">
      <c r="A462" s="50">
        <v>45804</v>
      </c>
      <c r="B462" s="51">
        <v>0.8353703703703703</v>
      </c>
      <c r="C462" t="s">
        <v>145</v>
      </c>
      <c r="D462" t="s">
        <v>38</v>
      </c>
      <c r="E462" t="s">
        <v>47</v>
      </c>
      <c r="F462" t="s">
        <v>324</v>
      </c>
      <c r="G462">
        <v>-10000</v>
      </c>
      <c r="H462" t="s">
        <v>147</v>
      </c>
      <c r="I462" t="s">
        <v>148</v>
      </c>
    </row>
    <row r="463" spans="1:9">
      <c r="A463" s="50">
        <v>45804</v>
      </c>
      <c r="B463" s="51">
        <v>0.3714351851851852</v>
      </c>
      <c r="C463" t="s">
        <v>145</v>
      </c>
      <c r="D463" t="s">
        <v>42</v>
      </c>
      <c r="E463" t="s">
        <v>47</v>
      </c>
      <c r="F463" t="s">
        <v>153</v>
      </c>
      <c r="G463">
        <v>-32085</v>
      </c>
      <c r="H463" t="s">
        <v>147</v>
      </c>
      <c r="I463" t="s">
        <v>154</v>
      </c>
    </row>
    <row r="464" spans="1:9">
      <c r="A464" s="50">
        <v>45804</v>
      </c>
      <c r="B464" s="51">
        <v>0.3675115740740741</v>
      </c>
      <c r="C464" t="s">
        <v>145</v>
      </c>
      <c r="D464" t="s">
        <v>38</v>
      </c>
      <c r="E464" t="s">
        <v>47</v>
      </c>
      <c r="F464" t="s">
        <v>325</v>
      </c>
      <c r="G464">
        <v>-62600</v>
      </c>
      <c r="H464" t="s">
        <v>147</v>
      </c>
      <c r="I464" t="s">
        <v>154</v>
      </c>
    </row>
    <row r="465" spans="1:9">
      <c r="A465" s="50">
        <v>45804</v>
      </c>
      <c r="B465" s="51">
        <v>0.3674652777777778</v>
      </c>
      <c r="C465" t="s">
        <v>151</v>
      </c>
      <c r="D465" t="s">
        <v>151</v>
      </c>
      <c r="E465" t="s">
        <v>47</v>
      </c>
      <c r="F465" t="s">
        <v>163</v>
      </c>
      <c r="G465">
        <v>-56490</v>
      </c>
      <c r="H465" t="s">
        <v>147</v>
      </c>
      <c r="I465" t="s">
        <v>57</v>
      </c>
    </row>
    <row r="466" spans="1:9">
      <c r="A466" s="50">
        <v>45803</v>
      </c>
      <c r="B466" s="51">
        <v>0.8569791666666666</v>
      </c>
      <c r="C466" t="s">
        <v>151</v>
      </c>
      <c r="D466" t="s">
        <v>151</v>
      </c>
      <c r="E466" t="s">
        <v>47</v>
      </c>
      <c r="F466" t="s">
        <v>326</v>
      </c>
      <c r="G466">
        <v>50000</v>
      </c>
      <c r="H466" t="s">
        <v>147</v>
      </c>
      <c r="I466" t="s">
        <v>57</v>
      </c>
    </row>
    <row r="467" spans="1:9">
      <c r="A467" s="50">
        <v>45803</v>
      </c>
      <c r="B467" s="51">
        <v>0.8150578703703704</v>
      </c>
      <c r="C467" t="s">
        <v>145</v>
      </c>
      <c r="D467" t="s">
        <v>35</v>
      </c>
      <c r="E467" t="s">
        <v>204</v>
      </c>
      <c r="F467" t="s">
        <v>327</v>
      </c>
      <c r="G467">
        <v>-32200</v>
      </c>
      <c r="H467" t="s">
        <v>147</v>
      </c>
      <c r="I467" t="s">
        <v>57</v>
      </c>
    </row>
    <row r="468" spans="1:9">
      <c r="A468" s="50">
        <v>45803</v>
      </c>
      <c r="B468" s="51">
        <v>0.8150462962962963</v>
      </c>
      <c r="C468" t="s">
        <v>145</v>
      </c>
      <c r="D468" t="s">
        <v>35</v>
      </c>
      <c r="E468" t="s">
        <v>207</v>
      </c>
      <c r="F468" t="s">
        <v>208</v>
      </c>
      <c r="G468">
        <v>-2942</v>
      </c>
      <c r="H468" t="s">
        <v>147</v>
      </c>
      <c r="I468" t="s">
        <v>57</v>
      </c>
    </row>
    <row r="469" spans="1:9">
      <c r="A469" s="50">
        <v>45803</v>
      </c>
      <c r="B469" s="51">
        <v>0.7806018518518518</v>
      </c>
      <c r="C469" t="s">
        <v>151</v>
      </c>
      <c r="D469" t="s">
        <v>198</v>
      </c>
      <c r="E469" t="s">
        <v>47</v>
      </c>
      <c r="F469" t="s">
        <v>211</v>
      </c>
      <c r="G469">
        <v>-50000</v>
      </c>
      <c r="H469" t="s">
        <v>147</v>
      </c>
      <c r="I469" t="s">
        <v>57</v>
      </c>
    </row>
    <row r="470" spans="1:9">
      <c r="A470" s="50">
        <v>45803</v>
      </c>
      <c r="B470" s="51">
        <v>0.7762962962962963</v>
      </c>
      <c r="C470" t="s">
        <v>145</v>
      </c>
      <c r="D470" t="s">
        <v>42</v>
      </c>
      <c r="E470" t="s">
        <v>47</v>
      </c>
      <c r="F470" t="s">
        <v>328</v>
      </c>
      <c r="G470">
        <v>-45000</v>
      </c>
      <c r="H470" t="s">
        <v>147</v>
      </c>
      <c r="I470" t="s">
        <v>57</v>
      </c>
    </row>
    <row r="471" spans="1:9">
      <c r="A471" s="50">
        <v>45803</v>
      </c>
      <c r="B471" s="51">
        <v>0.7762268518518518</v>
      </c>
      <c r="C471" t="s">
        <v>145</v>
      </c>
      <c r="D471" t="s">
        <v>35</v>
      </c>
      <c r="E471" t="s">
        <v>47</v>
      </c>
      <c r="F471" t="s">
        <v>202</v>
      </c>
      <c r="G471">
        <v>-10000</v>
      </c>
      <c r="H471" t="s">
        <v>147</v>
      </c>
      <c r="I471" t="s">
        <v>57</v>
      </c>
    </row>
    <row r="472" spans="1:9">
      <c r="A472" s="50">
        <v>45803</v>
      </c>
      <c r="B472" s="51">
        <v>0.6450578703703703</v>
      </c>
      <c r="C472" t="s">
        <v>145</v>
      </c>
      <c r="D472" t="s">
        <v>44</v>
      </c>
      <c r="E472" t="s">
        <v>47</v>
      </c>
      <c r="F472" t="s">
        <v>329</v>
      </c>
      <c r="G472">
        <v>-3000</v>
      </c>
      <c r="H472" t="s">
        <v>147</v>
      </c>
      <c r="I472" t="s">
        <v>165</v>
      </c>
    </row>
    <row r="473" spans="1:9">
      <c r="A473" s="50">
        <v>45803</v>
      </c>
      <c r="B473" s="51">
        <v>0.235625</v>
      </c>
      <c r="C473" t="s">
        <v>151</v>
      </c>
      <c r="D473" t="s">
        <v>198</v>
      </c>
      <c r="E473" t="s">
        <v>47</v>
      </c>
      <c r="F473" t="s">
        <v>214</v>
      </c>
      <c r="G473">
        <v>-100000</v>
      </c>
      <c r="H473" t="s">
        <v>147</v>
      </c>
      <c r="I473" t="s">
        <v>57</v>
      </c>
    </row>
    <row r="474" spans="1:9">
      <c r="A474" s="50">
        <v>45802</v>
      </c>
      <c r="B474" s="51">
        <v>0.4215972222222222</v>
      </c>
      <c r="C474" t="s">
        <v>145</v>
      </c>
      <c r="D474" t="s">
        <v>34</v>
      </c>
      <c r="E474" t="s">
        <v>47</v>
      </c>
      <c r="F474" t="s">
        <v>330</v>
      </c>
      <c r="G474">
        <v>-34000</v>
      </c>
      <c r="H474" t="s">
        <v>147</v>
      </c>
      <c r="I474" t="s">
        <v>331</v>
      </c>
    </row>
    <row r="475" spans="1:9">
      <c r="A475" s="50">
        <v>45802</v>
      </c>
      <c r="B475" s="51">
        <v>0.01782407407407408</v>
      </c>
      <c r="C475" t="s">
        <v>145</v>
      </c>
      <c r="D475" t="s">
        <v>45</v>
      </c>
      <c r="E475" t="s">
        <v>47</v>
      </c>
      <c r="F475" t="s">
        <v>332</v>
      </c>
      <c r="G475">
        <v>-24036</v>
      </c>
      <c r="H475" t="s">
        <v>147</v>
      </c>
      <c r="I475" t="s">
        <v>331</v>
      </c>
    </row>
    <row r="476" spans="1:9">
      <c r="A476" s="50">
        <v>45802</v>
      </c>
      <c r="B476" s="51">
        <v>0.01782407407407408</v>
      </c>
      <c r="C476" t="s">
        <v>145</v>
      </c>
      <c r="D476" t="s">
        <v>42</v>
      </c>
      <c r="E476" t="s">
        <v>47</v>
      </c>
      <c r="F476" t="s">
        <v>333</v>
      </c>
      <c r="G476">
        <v>-23829</v>
      </c>
      <c r="H476" t="s">
        <v>147</v>
      </c>
      <c r="I476" t="s">
        <v>57</v>
      </c>
    </row>
    <row r="477" spans="1:9">
      <c r="A477" s="50">
        <v>45801</v>
      </c>
      <c r="B477" s="51">
        <v>0.9784837962962963</v>
      </c>
      <c r="C477" t="s">
        <v>145</v>
      </c>
      <c r="D477" t="s">
        <v>41</v>
      </c>
      <c r="E477" t="s">
        <v>47</v>
      </c>
      <c r="F477" t="s">
        <v>334</v>
      </c>
      <c r="G477">
        <v>-96352</v>
      </c>
      <c r="H477" t="s">
        <v>147</v>
      </c>
      <c r="I477" t="s">
        <v>331</v>
      </c>
    </row>
    <row r="478" spans="1:9">
      <c r="A478" s="50">
        <v>45801</v>
      </c>
      <c r="B478" s="51">
        <v>0.9784837962962963</v>
      </c>
      <c r="C478" t="s">
        <v>145</v>
      </c>
      <c r="D478" t="s">
        <v>42</v>
      </c>
      <c r="E478" t="s">
        <v>47</v>
      </c>
      <c r="F478" t="s">
        <v>333</v>
      </c>
      <c r="G478">
        <v>-95527</v>
      </c>
      <c r="H478" t="s">
        <v>147</v>
      </c>
      <c r="I478" t="s">
        <v>57</v>
      </c>
    </row>
    <row r="479" spans="1:9">
      <c r="A479" s="50">
        <v>45801</v>
      </c>
      <c r="B479" s="51">
        <v>0.8908217592592592</v>
      </c>
      <c r="C479" t="s">
        <v>145</v>
      </c>
      <c r="D479" t="s">
        <v>45</v>
      </c>
      <c r="E479" t="s">
        <v>47</v>
      </c>
      <c r="F479" t="s">
        <v>335</v>
      </c>
      <c r="G479">
        <v>-96946</v>
      </c>
      <c r="H479" t="s">
        <v>147</v>
      </c>
      <c r="I479" t="s">
        <v>331</v>
      </c>
    </row>
    <row r="480" spans="1:9">
      <c r="A480" s="50">
        <v>45801</v>
      </c>
      <c r="B480" s="51">
        <v>0.8908217592592592</v>
      </c>
      <c r="C480" t="s">
        <v>145</v>
      </c>
      <c r="D480" t="s">
        <v>42</v>
      </c>
      <c r="E480" t="s">
        <v>47</v>
      </c>
      <c r="F480" t="s">
        <v>333</v>
      </c>
      <c r="G480">
        <v>-96110</v>
      </c>
      <c r="H480" t="s">
        <v>147</v>
      </c>
      <c r="I480" t="s">
        <v>57</v>
      </c>
    </row>
    <row r="481" spans="1:9">
      <c r="A481" s="50">
        <v>45801</v>
      </c>
      <c r="B481" s="51">
        <v>0.7885300925925925</v>
      </c>
      <c r="C481" t="s">
        <v>145</v>
      </c>
      <c r="D481" t="s">
        <v>40</v>
      </c>
      <c r="E481" t="s">
        <v>47</v>
      </c>
      <c r="F481" t="s">
        <v>336</v>
      </c>
      <c r="G481">
        <v>-38264</v>
      </c>
      <c r="H481" t="s">
        <v>147</v>
      </c>
      <c r="I481" t="s">
        <v>331</v>
      </c>
    </row>
    <row r="482" spans="1:9">
      <c r="A482" s="50">
        <v>45801</v>
      </c>
      <c r="B482" s="51">
        <v>0.7885300925925925</v>
      </c>
      <c r="C482" t="s">
        <v>145</v>
      </c>
      <c r="D482" t="s">
        <v>42</v>
      </c>
      <c r="E482" t="s">
        <v>47</v>
      </c>
      <c r="F482" t="s">
        <v>333</v>
      </c>
      <c r="G482">
        <v>-37940</v>
      </c>
      <c r="H482" t="s">
        <v>147</v>
      </c>
      <c r="I482" t="s">
        <v>57</v>
      </c>
    </row>
    <row r="483" spans="1:9">
      <c r="A483" s="50">
        <v>45801</v>
      </c>
      <c r="B483" s="51">
        <v>0.7281481481481481</v>
      </c>
      <c r="C483" t="s">
        <v>145</v>
      </c>
      <c r="D483" t="s">
        <v>42</v>
      </c>
      <c r="E483" t="s">
        <v>47</v>
      </c>
      <c r="F483" t="s">
        <v>333</v>
      </c>
      <c r="G483">
        <v>-2788</v>
      </c>
      <c r="H483" t="s">
        <v>147</v>
      </c>
      <c r="I483" t="s">
        <v>57</v>
      </c>
    </row>
    <row r="484" spans="1:9">
      <c r="A484" s="50">
        <v>45801</v>
      </c>
      <c r="B484" s="51">
        <v>0.7281481481481481</v>
      </c>
      <c r="C484" t="s">
        <v>145</v>
      </c>
      <c r="D484" t="s">
        <v>46</v>
      </c>
      <c r="E484" t="s">
        <v>47</v>
      </c>
      <c r="F484" t="s">
        <v>337</v>
      </c>
      <c r="G484">
        <v>-2818</v>
      </c>
      <c r="H484" t="s">
        <v>147</v>
      </c>
      <c r="I484" t="s">
        <v>331</v>
      </c>
    </row>
    <row r="485" spans="1:9">
      <c r="A485" s="50">
        <v>45801</v>
      </c>
      <c r="B485" s="51">
        <v>0.7235763888888889</v>
      </c>
      <c r="C485" t="s">
        <v>145</v>
      </c>
      <c r="D485" t="s">
        <v>42</v>
      </c>
      <c r="E485" t="s">
        <v>47</v>
      </c>
      <c r="F485" t="s">
        <v>333</v>
      </c>
      <c r="G485">
        <v>-162324</v>
      </c>
      <c r="H485" t="s">
        <v>147</v>
      </c>
      <c r="I485" t="s">
        <v>57</v>
      </c>
    </row>
    <row r="486" spans="1:9">
      <c r="A486" s="50">
        <v>45801</v>
      </c>
      <c r="B486" s="51">
        <v>0.7235648148148148</v>
      </c>
      <c r="C486" t="s">
        <v>145</v>
      </c>
      <c r="D486" t="s">
        <v>38</v>
      </c>
      <c r="E486" t="s">
        <v>47</v>
      </c>
      <c r="F486" t="s">
        <v>338</v>
      </c>
      <c r="G486">
        <v>-163737</v>
      </c>
      <c r="H486" t="s">
        <v>147</v>
      </c>
      <c r="I486" t="s">
        <v>331</v>
      </c>
    </row>
    <row r="487" spans="1:9">
      <c r="A487" s="50">
        <v>45801</v>
      </c>
      <c r="B487" s="51">
        <v>0.6586574074074074</v>
      </c>
      <c r="C487" t="s">
        <v>145</v>
      </c>
      <c r="D487" t="s">
        <v>42</v>
      </c>
      <c r="E487" t="s">
        <v>47</v>
      </c>
      <c r="F487" t="s">
        <v>333</v>
      </c>
      <c r="G487">
        <v>-10976</v>
      </c>
      <c r="H487" t="s">
        <v>147</v>
      </c>
      <c r="I487" t="s">
        <v>57</v>
      </c>
    </row>
    <row r="488" spans="1:9">
      <c r="A488" s="50">
        <v>45801</v>
      </c>
      <c r="B488" s="51">
        <v>0.6586458333333334</v>
      </c>
      <c r="C488" t="s">
        <v>145</v>
      </c>
      <c r="D488" t="s">
        <v>40</v>
      </c>
      <c r="E488" t="s">
        <v>47</v>
      </c>
      <c r="F488" t="s">
        <v>339</v>
      </c>
      <c r="G488">
        <v>-11078</v>
      </c>
      <c r="H488" t="s">
        <v>147</v>
      </c>
      <c r="I488" t="s">
        <v>331</v>
      </c>
    </row>
    <row r="489" spans="1:9">
      <c r="A489" s="50">
        <v>45801</v>
      </c>
      <c r="B489" s="51">
        <v>0.5905208333333334</v>
      </c>
      <c r="C489" t="s">
        <v>145</v>
      </c>
      <c r="D489" t="s">
        <v>42</v>
      </c>
      <c r="E489" t="s">
        <v>47</v>
      </c>
      <c r="F489" t="s">
        <v>333</v>
      </c>
      <c r="G489">
        <v>-5746</v>
      </c>
      <c r="H489" t="s">
        <v>147</v>
      </c>
      <c r="I489" t="s">
        <v>57</v>
      </c>
    </row>
    <row r="490" spans="1:9">
      <c r="A490" s="50">
        <v>45801</v>
      </c>
      <c r="B490" s="51">
        <v>0.5905208333333334</v>
      </c>
      <c r="C490" t="s">
        <v>145</v>
      </c>
      <c r="D490" t="s">
        <v>38</v>
      </c>
      <c r="E490" t="s">
        <v>47</v>
      </c>
      <c r="F490" t="s">
        <v>340</v>
      </c>
      <c r="G490">
        <v>-5801</v>
      </c>
      <c r="H490" t="s">
        <v>147</v>
      </c>
      <c r="I490" t="s">
        <v>331</v>
      </c>
    </row>
    <row r="491" spans="1:9">
      <c r="A491" s="50">
        <v>45801</v>
      </c>
      <c r="B491" s="51">
        <v>0.5621412037037037</v>
      </c>
      <c r="C491" t="s">
        <v>145</v>
      </c>
      <c r="D491" t="s">
        <v>42</v>
      </c>
      <c r="E491" t="s">
        <v>47</v>
      </c>
      <c r="F491" t="s">
        <v>333</v>
      </c>
      <c r="G491">
        <v>-30749</v>
      </c>
      <c r="H491" t="s">
        <v>147</v>
      </c>
      <c r="I491" t="s">
        <v>57</v>
      </c>
    </row>
    <row r="492" spans="1:9">
      <c r="A492" s="50">
        <v>45801</v>
      </c>
      <c r="B492" s="51">
        <v>0.5621296296296296</v>
      </c>
      <c r="C492" t="s">
        <v>145</v>
      </c>
      <c r="D492" t="s">
        <v>40</v>
      </c>
      <c r="E492" t="s">
        <v>47</v>
      </c>
      <c r="F492" t="s">
        <v>341</v>
      </c>
      <c r="G492">
        <v>-31012</v>
      </c>
      <c r="H492" t="s">
        <v>147</v>
      </c>
      <c r="I492" t="s">
        <v>331</v>
      </c>
    </row>
    <row r="493" spans="1:9">
      <c r="A493" s="50">
        <v>45801</v>
      </c>
      <c r="B493" s="51">
        <v>0.5248379629629629</v>
      </c>
      <c r="C493" t="s">
        <v>145</v>
      </c>
      <c r="D493" t="s">
        <v>42</v>
      </c>
      <c r="E493" t="s">
        <v>47</v>
      </c>
      <c r="F493" t="s">
        <v>333</v>
      </c>
      <c r="G493">
        <v>-58854</v>
      </c>
      <c r="H493" t="s">
        <v>147</v>
      </c>
      <c r="I493" t="s">
        <v>57</v>
      </c>
    </row>
    <row r="494" spans="1:9">
      <c r="A494" s="50">
        <v>45801</v>
      </c>
      <c r="B494" s="51">
        <v>0.5248263888888889</v>
      </c>
      <c r="C494" t="s">
        <v>145</v>
      </c>
      <c r="D494" t="s">
        <v>41</v>
      </c>
      <c r="E494" t="s">
        <v>47</v>
      </c>
      <c r="F494" t="s">
        <v>342</v>
      </c>
      <c r="G494">
        <v>-122792</v>
      </c>
      <c r="H494" t="s">
        <v>147</v>
      </c>
      <c r="I494" t="s">
        <v>331</v>
      </c>
    </row>
    <row r="495" spans="1:9">
      <c r="A495" s="50">
        <v>45801</v>
      </c>
      <c r="B495" s="51">
        <v>0.3758449074074074</v>
      </c>
      <c r="C495" t="s">
        <v>145</v>
      </c>
      <c r="D495" t="s">
        <v>42</v>
      </c>
      <c r="E495" t="s">
        <v>47</v>
      </c>
      <c r="F495" t="s">
        <v>153</v>
      </c>
      <c r="G495">
        <v>-3900</v>
      </c>
      <c r="H495" t="s">
        <v>147</v>
      </c>
      <c r="I495" t="s">
        <v>154</v>
      </c>
    </row>
    <row r="496" spans="1:9">
      <c r="A496" s="50">
        <v>45801</v>
      </c>
      <c r="B496" s="51">
        <v>0.3758449074074074</v>
      </c>
      <c r="C496" t="s">
        <v>151</v>
      </c>
      <c r="D496" t="s">
        <v>160</v>
      </c>
      <c r="E496" t="s">
        <v>47</v>
      </c>
      <c r="F496" t="s">
        <v>163</v>
      </c>
      <c r="G496">
        <v>-10000</v>
      </c>
      <c r="H496" t="s">
        <v>147</v>
      </c>
      <c r="I496" t="s">
        <v>57</v>
      </c>
    </row>
    <row r="497" spans="1:9">
      <c r="A497" s="50">
        <v>45801</v>
      </c>
      <c r="B497" s="51">
        <v>0.3758449074074074</v>
      </c>
      <c r="C497" t="s">
        <v>151</v>
      </c>
      <c r="D497" t="s">
        <v>160</v>
      </c>
      <c r="E497" t="s">
        <v>47</v>
      </c>
      <c r="F497" t="s">
        <v>161</v>
      </c>
      <c r="G497">
        <v>10000</v>
      </c>
      <c r="H497" t="s">
        <v>147</v>
      </c>
      <c r="I497" t="s">
        <v>162</v>
      </c>
    </row>
    <row r="498" spans="1:9">
      <c r="A498" s="50">
        <v>45800</v>
      </c>
      <c r="B498" s="51">
        <v>0.8958333333333334</v>
      </c>
      <c r="C498" t="s">
        <v>145</v>
      </c>
      <c r="D498" t="s">
        <v>40</v>
      </c>
      <c r="E498" t="s">
        <v>47</v>
      </c>
      <c r="F498" t="s">
        <v>343</v>
      </c>
      <c r="G498">
        <v>-5165</v>
      </c>
      <c r="H498" t="s">
        <v>147</v>
      </c>
      <c r="I498" t="s">
        <v>331</v>
      </c>
    </row>
    <row r="499" spans="1:9">
      <c r="A499" s="50">
        <v>45800</v>
      </c>
      <c r="B499" s="51">
        <v>0.8729745370370371</v>
      </c>
      <c r="C499" t="s">
        <v>145</v>
      </c>
      <c r="D499" t="s">
        <v>38</v>
      </c>
      <c r="E499" t="s">
        <v>47</v>
      </c>
      <c r="F499" t="s">
        <v>344</v>
      </c>
      <c r="G499">
        <v>-8355</v>
      </c>
      <c r="H499" t="s">
        <v>147</v>
      </c>
      <c r="I499" t="s">
        <v>331</v>
      </c>
    </row>
    <row r="500" spans="1:9">
      <c r="A500" s="50">
        <v>45800</v>
      </c>
      <c r="B500" s="51">
        <v>0.8265972222222222</v>
      </c>
      <c r="C500" t="s">
        <v>145</v>
      </c>
      <c r="D500" t="s">
        <v>40</v>
      </c>
      <c r="E500" t="s">
        <v>47</v>
      </c>
      <c r="F500" t="s">
        <v>345</v>
      </c>
      <c r="G500">
        <v>-138897</v>
      </c>
      <c r="H500" t="s">
        <v>147</v>
      </c>
      <c r="I500" t="s">
        <v>331</v>
      </c>
    </row>
    <row r="501" spans="1:9">
      <c r="A501" s="50">
        <v>45800</v>
      </c>
      <c r="B501" s="51">
        <v>0.7454050925925926</v>
      </c>
      <c r="C501" t="s">
        <v>145</v>
      </c>
      <c r="D501" t="s">
        <v>38</v>
      </c>
      <c r="E501" t="s">
        <v>47</v>
      </c>
      <c r="F501" t="s">
        <v>344</v>
      </c>
      <c r="G501">
        <v>-5780</v>
      </c>
      <c r="H501" t="s">
        <v>147</v>
      </c>
      <c r="I501" t="s">
        <v>331</v>
      </c>
    </row>
    <row r="502" spans="1:9">
      <c r="A502" s="50">
        <v>45800</v>
      </c>
      <c r="B502" s="51">
        <v>0.7176967592592592</v>
      </c>
      <c r="C502" t="s">
        <v>145</v>
      </c>
      <c r="D502" t="s">
        <v>46</v>
      </c>
      <c r="E502" t="s">
        <v>47</v>
      </c>
      <c r="F502" t="s">
        <v>346</v>
      </c>
      <c r="G502">
        <v>-2544</v>
      </c>
      <c r="H502" t="s">
        <v>147</v>
      </c>
      <c r="I502" t="s">
        <v>331</v>
      </c>
    </row>
    <row r="503" spans="1:9">
      <c r="A503" s="50">
        <v>45800</v>
      </c>
      <c r="B503" s="51">
        <v>0.7061805555555556</v>
      </c>
      <c r="C503" t="s">
        <v>151</v>
      </c>
      <c r="D503" t="s">
        <v>160</v>
      </c>
      <c r="E503" t="s">
        <v>47</v>
      </c>
      <c r="F503" t="s">
        <v>7</v>
      </c>
      <c r="G503">
        <v>200000</v>
      </c>
      <c r="H503" t="s">
        <v>147</v>
      </c>
      <c r="I503" t="s">
        <v>57</v>
      </c>
    </row>
    <row r="504" spans="1:9">
      <c r="A504" s="50">
        <v>45800</v>
      </c>
      <c r="B504" s="51">
        <v>0.7061805555555556</v>
      </c>
      <c r="C504" t="s">
        <v>151</v>
      </c>
      <c r="D504" t="s">
        <v>160</v>
      </c>
      <c r="E504" t="s">
        <v>47</v>
      </c>
      <c r="F504" t="s">
        <v>161</v>
      </c>
      <c r="G504">
        <v>-200000</v>
      </c>
      <c r="H504" t="s">
        <v>147</v>
      </c>
      <c r="I504" t="s">
        <v>162</v>
      </c>
    </row>
    <row r="505" spans="1:9">
      <c r="A505" s="50">
        <v>45800</v>
      </c>
      <c r="B505" s="51">
        <v>0.7035763888888888</v>
      </c>
      <c r="C505" t="s">
        <v>151</v>
      </c>
      <c r="D505" t="s">
        <v>151</v>
      </c>
      <c r="E505" t="s">
        <v>47</v>
      </c>
      <c r="F505" t="s">
        <v>347</v>
      </c>
      <c r="G505">
        <v>50000</v>
      </c>
      <c r="H505" t="s">
        <v>147</v>
      </c>
      <c r="I505" t="s">
        <v>162</v>
      </c>
    </row>
    <row r="506" spans="1:9">
      <c r="A506" s="50">
        <v>45800</v>
      </c>
      <c r="B506" s="51">
        <v>0.702025462962963</v>
      </c>
      <c r="C506" t="s">
        <v>151</v>
      </c>
      <c r="D506" t="s">
        <v>151</v>
      </c>
      <c r="E506" t="s">
        <v>47</v>
      </c>
      <c r="F506" t="s">
        <v>348</v>
      </c>
      <c r="G506">
        <v>100000</v>
      </c>
      <c r="H506" t="s">
        <v>147</v>
      </c>
      <c r="I506" t="s">
        <v>162</v>
      </c>
    </row>
    <row r="507" spans="1:9">
      <c r="A507" s="50">
        <v>45800</v>
      </c>
      <c r="B507" s="51">
        <v>0.7010532407407407</v>
      </c>
      <c r="C507" t="s">
        <v>151</v>
      </c>
      <c r="D507" t="s">
        <v>151</v>
      </c>
      <c r="E507" t="s">
        <v>47</v>
      </c>
      <c r="F507" t="s">
        <v>349</v>
      </c>
      <c r="G507">
        <v>50000</v>
      </c>
      <c r="H507" t="s">
        <v>147</v>
      </c>
      <c r="I507" t="s">
        <v>162</v>
      </c>
    </row>
    <row r="508" spans="1:9">
      <c r="A508" s="50">
        <v>45800</v>
      </c>
      <c r="B508" s="51">
        <v>0.6912152777777778</v>
      </c>
      <c r="C508" t="s">
        <v>145</v>
      </c>
      <c r="D508" t="s">
        <v>45</v>
      </c>
      <c r="E508" t="s">
        <v>47</v>
      </c>
      <c r="F508" t="s">
        <v>350</v>
      </c>
      <c r="G508">
        <v>-4678</v>
      </c>
      <c r="H508" t="s">
        <v>147</v>
      </c>
      <c r="I508" t="s">
        <v>331</v>
      </c>
    </row>
    <row r="509" spans="1:9">
      <c r="A509" s="50">
        <v>45800</v>
      </c>
      <c r="B509" s="51">
        <v>0.6725694444444444</v>
      </c>
      <c r="C509" t="s">
        <v>145</v>
      </c>
      <c r="D509" t="s">
        <v>38</v>
      </c>
      <c r="E509" t="s">
        <v>47</v>
      </c>
      <c r="F509" t="s">
        <v>351</v>
      </c>
      <c r="G509">
        <v>-28813</v>
      </c>
      <c r="H509" t="s">
        <v>147</v>
      </c>
      <c r="I509" t="s">
        <v>331</v>
      </c>
    </row>
    <row r="510" spans="1:9">
      <c r="A510" s="50">
        <v>45800</v>
      </c>
      <c r="B510" s="51">
        <v>0.580324074074074</v>
      </c>
      <c r="C510" t="s">
        <v>145</v>
      </c>
      <c r="D510" t="s">
        <v>45</v>
      </c>
      <c r="E510" t="s">
        <v>47</v>
      </c>
      <c r="F510" t="s">
        <v>352</v>
      </c>
      <c r="G510">
        <v>-6814</v>
      </c>
      <c r="H510" t="s">
        <v>147</v>
      </c>
      <c r="I510" t="s">
        <v>331</v>
      </c>
    </row>
    <row r="511" spans="1:9">
      <c r="A511" s="50">
        <v>45800</v>
      </c>
      <c r="B511" s="51">
        <v>0.570150462962963</v>
      </c>
      <c r="C511" t="s">
        <v>151</v>
      </c>
      <c r="D511" t="s">
        <v>151</v>
      </c>
      <c r="E511" t="s">
        <v>47</v>
      </c>
      <c r="F511" t="s">
        <v>163</v>
      </c>
      <c r="G511">
        <v>-100000</v>
      </c>
      <c r="H511" t="s">
        <v>147</v>
      </c>
      <c r="I511" t="s">
        <v>57</v>
      </c>
    </row>
    <row r="512" spans="1:9">
      <c r="A512" s="50">
        <v>45800</v>
      </c>
      <c r="B512" s="51">
        <v>0.5632754629629629</v>
      </c>
      <c r="C512" t="s">
        <v>145</v>
      </c>
      <c r="D512" t="s">
        <v>45</v>
      </c>
      <c r="E512" t="s">
        <v>47</v>
      </c>
      <c r="F512" t="s">
        <v>352</v>
      </c>
      <c r="G512">
        <v>-20514</v>
      </c>
      <c r="H512" t="s">
        <v>147</v>
      </c>
      <c r="I512" t="s">
        <v>331</v>
      </c>
    </row>
    <row r="513" spans="1:9">
      <c r="A513" s="50">
        <v>45800</v>
      </c>
      <c r="B513" s="51">
        <v>0.4351157407407407</v>
      </c>
      <c r="C513" t="s">
        <v>151</v>
      </c>
      <c r="D513" t="s">
        <v>160</v>
      </c>
      <c r="E513" t="s">
        <v>47</v>
      </c>
      <c r="F513" t="s">
        <v>7</v>
      </c>
      <c r="G513">
        <v>1000000</v>
      </c>
      <c r="H513" t="s">
        <v>147</v>
      </c>
      <c r="I513" t="s">
        <v>61</v>
      </c>
    </row>
    <row r="514" spans="1:9">
      <c r="A514" s="50">
        <v>45800</v>
      </c>
      <c r="B514" s="51">
        <v>0.4351157407407407</v>
      </c>
      <c r="C514" t="s">
        <v>151</v>
      </c>
      <c r="D514" t="s">
        <v>160</v>
      </c>
      <c r="E514" t="s">
        <v>47</v>
      </c>
      <c r="F514" t="s">
        <v>7</v>
      </c>
      <c r="G514">
        <v>-1000000</v>
      </c>
      <c r="H514" t="s">
        <v>147</v>
      </c>
      <c r="I514" t="s">
        <v>57</v>
      </c>
    </row>
    <row r="515" spans="1:9">
      <c r="A515" s="50">
        <v>45800</v>
      </c>
      <c r="B515" s="51">
        <v>0.4276041666666667</v>
      </c>
      <c r="C515" t="s">
        <v>151</v>
      </c>
      <c r="D515" t="s">
        <v>151</v>
      </c>
      <c r="E515" t="s">
        <v>47</v>
      </c>
      <c r="F515" t="s">
        <v>163</v>
      </c>
      <c r="G515">
        <v>-100000</v>
      </c>
      <c r="H515" t="s">
        <v>147</v>
      </c>
      <c r="I515" t="s">
        <v>57</v>
      </c>
    </row>
    <row r="516" spans="1:9">
      <c r="A516" s="50">
        <v>45800</v>
      </c>
      <c r="B516" s="51">
        <v>0.4006944444444445</v>
      </c>
      <c r="C516" t="s">
        <v>145</v>
      </c>
      <c r="D516" t="s">
        <v>42</v>
      </c>
      <c r="E516" t="s">
        <v>47</v>
      </c>
      <c r="F516" t="s">
        <v>353</v>
      </c>
      <c r="G516">
        <v>-121966</v>
      </c>
      <c r="H516" t="s">
        <v>147</v>
      </c>
      <c r="I516" t="s">
        <v>331</v>
      </c>
    </row>
    <row r="517" spans="1:9">
      <c r="A517" s="50">
        <v>45800</v>
      </c>
      <c r="B517" s="51">
        <v>0.3615625</v>
      </c>
      <c r="C517" t="s">
        <v>151</v>
      </c>
      <c r="D517" t="s">
        <v>198</v>
      </c>
      <c r="E517" t="s">
        <v>47</v>
      </c>
      <c r="F517" t="s">
        <v>213</v>
      </c>
      <c r="G517">
        <v>1716410</v>
      </c>
      <c r="H517" t="s">
        <v>147</v>
      </c>
      <c r="I517" t="s">
        <v>57</v>
      </c>
    </row>
    <row r="518" spans="1:9">
      <c r="A518" s="50">
        <v>45800</v>
      </c>
      <c r="B518" s="51">
        <v>0.007511574074074074</v>
      </c>
      <c r="C518" t="s">
        <v>145</v>
      </c>
      <c r="D518" t="s">
        <v>40</v>
      </c>
      <c r="E518" t="s">
        <v>47</v>
      </c>
      <c r="F518" t="s">
        <v>343</v>
      </c>
      <c r="G518">
        <v>-14697</v>
      </c>
      <c r="H518" t="s">
        <v>147</v>
      </c>
      <c r="I518" t="s">
        <v>331</v>
      </c>
    </row>
    <row r="519" spans="1:9">
      <c r="A519" s="50">
        <v>45799</v>
      </c>
      <c r="B519" s="51">
        <v>0.9841319444444444</v>
      </c>
      <c r="C519" t="s">
        <v>145</v>
      </c>
      <c r="D519" t="s">
        <v>46</v>
      </c>
      <c r="E519" t="s">
        <v>47</v>
      </c>
      <c r="F519" t="s">
        <v>354</v>
      </c>
      <c r="G519">
        <v>-4436</v>
      </c>
      <c r="H519" t="s">
        <v>147</v>
      </c>
      <c r="I519" t="s">
        <v>331</v>
      </c>
    </row>
    <row r="520" spans="1:9">
      <c r="A520" s="50">
        <v>45799</v>
      </c>
      <c r="B520" s="51">
        <v>0.9776967592592593</v>
      </c>
      <c r="C520" t="s">
        <v>145</v>
      </c>
      <c r="D520" t="s">
        <v>46</v>
      </c>
      <c r="E520" t="s">
        <v>47</v>
      </c>
      <c r="F520" t="s">
        <v>355</v>
      </c>
      <c r="G520">
        <v>-9725</v>
      </c>
      <c r="H520" t="s">
        <v>147</v>
      </c>
      <c r="I520" t="s">
        <v>331</v>
      </c>
    </row>
    <row r="521" spans="1:9">
      <c r="A521" s="50">
        <v>45799</v>
      </c>
      <c r="B521" s="51">
        <v>0.7128356481481481</v>
      </c>
      <c r="C521" t="s">
        <v>145</v>
      </c>
      <c r="D521" t="s">
        <v>40</v>
      </c>
      <c r="E521" t="s">
        <v>47</v>
      </c>
      <c r="F521" t="s">
        <v>356</v>
      </c>
      <c r="G521">
        <v>-67584</v>
      </c>
      <c r="H521" t="s">
        <v>147</v>
      </c>
      <c r="I521" t="s">
        <v>331</v>
      </c>
    </row>
    <row r="522" spans="1:9">
      <c r="A522" s="50">
        <v>45799</v>
      </c>
      <c r="B522" s="51">
        <v>0.6467592592592593</v>
      </c>
      <c r="C522" t="s">
        <v>145</v>
      </c>
      <c r="D522" t="s">
        <v>42</v>
      </c>
      <c r="E522" t="s">
        <v>47</v>
      </c>
      <c r="F522" t="s">
        <v>333</v>
      </c>
      <c r="G522">
        <v>-499994</v>
      </c>
      <c r="H522" t="s">
        <v>147</v>
      </c>
      <c r="I522" t="s">
        <v>57</v>
      </c>
    </row>
    <row r="523" spans="1:9">
      <c r="A523" s="50">
        <v>45799</v>
      </c>
      <c r="B523" s="51">
        <v>0.6461458333333333</v>
      </c>
      <c r="C523" t="s">
        <v>151</v>
      </c>
      <c r="D523" t="s">
        <v>160</v>
      </c>
      <c r="E523" t="s">
        <v>47</v>
      </c>
      <c r="F523" t="s">
        <v>7</v>
      </c>
      <c r="G523">
        <v>500000</v>
      </c>
      <c r="H523" t="s">
        <v>147</v>
      </c>
      <c r="I523" t="s">
        <v>57</v>
      </c>
    </row>
    <row r="524" spans="1:9">
      <c r="A524" s="50">
        <v>45799</v>
      </c>
      <c r="B524" s="51">
        <v>0.6461458333333333</v>
      </c>
      <c r="C524" t="s">
        <v>151</v>
      </c>
      <c r="D524" t="s">
        <v>160</v>
      </c>
      <c r="E524" t="s">
        <v>47</v>
      </c>
      <c r="F524" t="s">
        <v>7</v>
      </c>
      <c r="G524">
        <v>-500000</v>
      </c>
      <c r="H524" t="s">
        <v>147</v>
      </c>
      <c r="I524" t="s">
        <v>61</v>
      </c>
    </row>
    <row r="525" spans="1:9">
      <c r="A525" s="50">
        <v>45799</v>
      </c>
      <c r="B525" s="51">
        <v>0.5063657407407407</v>
      </c>
      <c r="C525" t="s">
        <v>145</v>
      </c>
      <c r="D525" t="s">
        <v>46</v>
      </c>
      <c r="E525" t="s">
        <v>47</v>
      </c>
      <c r="F525" t="s">
        <v>357</v>
      </c>
      <c r="G525">
        <v>-297871</v>
      </c>
      <c r="H525" t="s">
        <v>147</v>
      </c>
      <c r="I525" t="s">
        <v>331</v>
      </c>
    </row>
    <row r="526" spans="1:9">
      <c r="A526" s="50">
        <v>45799</v>
      </c>
      <c r="B526" s="51">
        <v>0.5063657407407407</v>
      </c>
      <c r="C526" t="s">
        <v>145</v>
      </c>
      <c r="D526" t="s">
        <v>42</v>
      </c>
      <c r="E526" t="s">
        <v>47</v>
      </c>
      <c r="F526" t="s">
        <v>333</v>
      </c>
      <c r="G526">
        <v>-216992</v>
      </c>
      <c r="H526" t="s">
        <v>147</v>
      </c>
      <c r="I526" t="s">
        <v>57</v>
      </c>
    </row>
    <row r="527" spans="1:9">
      <c r="A527" s="50">
        <v>45799</v>
      </c>
      <c r="B527" s="51">
        <v>0.4945370370370371</v>
      </c>
      <c r="C527" t="s">
        <v>151</v>
      </c>
      <c r="D527" t="s">
        <v>160</v>
      </c>
      <c r="E527" t="s">
        <v>47</v>
      </c>
      <c r="F527" t="s">
        <v>7</v>
      </c>
      <c r="G527">
        <v>-300000</v>
      </c>
      <c r="H527" t="s">
        <v>147</v>
      </c>
      <c r="I527" t="s">
        <v>61</v>
      </c>
    </row>
    <row r="528" spans="1:9">
      <c r="A528" s="50">
        <v>45799</v>
      </c>
      <c r="B528" s="51">
        <v>0.4945370370370371</v>
      </c>
      <c r="C528" t="s">
        <v>151</v>
      </c>
      <c r="D528" t="s">
        <v>160</v>
      </c>
      <c r="E528" t="s">
        <v>47</v>
      </c>
      <c r="F528" t="s">
        <v>7</v>
      </c>
      <c r="G528">
        <v>300000</v>
      </c>
      <c r="H528" t="s">
        <v>147</v>
      </c>
      <c r="I528" t="s">
        <v>57</v>
      </c>
    </row>
    <row r="529" spans="1:9">
      <c r="A529" s="50">
        <v>45798</v>
      </c>
      <c r="B529" s="51">
        <v>0.8392361111111111</v>
      </c>
      <c r="C529" t="s">
        <v>145</v>
      </c>
      <c r="D529" t="s">
        <v>45</v>
      </c>
      <c r="E529" t="s">
        <v>47</v>
      </c>
      <c r="F529" t="s">
        <v>358</v>
      </c>
      <c r="G529">
        <v>-5555</v>
      </c>
      <c r="H529" t="s">
        <v>147</v>
      </c>
      <c r="I529" t="s">
        <v>331</v>
      </c>
    </row>
    <row r="530" spans="1:9">
      <c r="A530" s="50">
        <v>45798</v>
      </c>
      <c r="B530" s="51">
        <v>0.7973263888888888</v>
      </c>
      <c r="C530" t="s">
        <v>145</v>
      </c>
      <c r="D530" t="s">
        <v>39</v>
      </c>
      <c r="E530" t="s">
        <v>47</v>
      </c>
      <c r="F530" t="s">
        <v>359</v>
      </c>
      <c r="G530">
        <v>-9003</v>
      </c>
      <c r="H530" t="s">
        <v>147</v>
      </c>
      <c r="I530" t="s">
        <v>331</v>
      </c>
    </row>
    <row r="531" spans="1:9">
      <c r="A531" s="50">
        <v>45798</v>
      </c>
      <c r="B531" s="51">
        <v>0.7634953703703704</v>
      </c>
      <c r="C531" t="s">
        <v>145</v>
      </c>
      <c r="D531" t="s">
        <v>44</v>
      </c>
      <c r="E531" t="s">
        <v>220</v>
      </c>
      <c r="F531" t="s">
        <v>221</v>
      </c>
      <c r="G531">
        <v>-82120</v>
      </c>
      <c r="H531" t="s">
        <v>147</v>
      </c>
      <c r="I531" t="s">
        <v>57</v>
      </c>
    </row>
    <row r="532" spans="1:9">
      <c r="A532" s="50">
        <v>45798</v>
      </c>
      <c r="B532" s="51">
        <v>0.7630555555555556</v>
      </c>
      <c r="C532" t="s">
        <v>145</v>
      </c>
      <c r="D532" t="s">
        <v>35</v>
      </c>
      <c r="E532" t="s">
        <v>47</v>
      </c>
      <c r="F532" t="s">
        <v>197</v>
      </c>
      <c r="G532">
        <v>-78450</v>
      </c>
      <c r="H532" t="s">
        <v>147</v>
      </c>
      <c r="I532" t="s">
        <v>162</v>
      </c>
    </row>
    <row r="533" spans="1:9">
      <c r="A533" s="50">
        <v>45798</v>
      </c>
      <c r="B533" s="51">
        <v>0.7630439814814814</v>
      </c>
      <c r="C533" t="s">
        <v>151</v>
      </c>
      <c r="D533" t="s">
        <v>160</v>
      </c>
      <c r="E533" t="s">
        <v>47</v>
      </c>
      <c r="F533" t="s">
        <v>163</v>
      </c>
      <c r="G533">
        <v>-27002</v>
      </c>
      <c r="H533" t="s">
        <v>147</v>
      </c>
      <c r="I533" t="s">
        <v>57</v>
      </c>
    </row>
    <row r="534" spans="1:9">
      <c r="A534" s="50">
        <v>45798</v>
      </c>
      <c r="B534" s="51">
        <v>0.7630439814814814</v>
      </c>
      <c r="C534" t="s">
        <v>151</v>
      </c>
      <c r="D534" t="s">
        <v>160</v>
      </c>
      <c r="E534" t="s">
        <v>47</v>
      </c>
      <c r="F534" t="s">
        <v>161</v>
      </c>
      <c r="G534">
        <v>27002</v>
      </c>
      <c r="H534" t="s">
        <v>147</v>
      </c>
      <c r="I534" t="s">
        <v>162</v>
      </c>
    </row>
    <row r="535" spans="1:9">
      <c r="A535" s="50">
        <v>45798</v>
      </c>
      <c r="B535" s="51">
        <v>0.7415740740740741</v>
      </c>
      <c r="C535" t="s">
        <v>145</v>
      </c>
      <c r="D535" t="s">
        <v>40</v>
      </c>
      <c r="E535" t="s">
        <v>47</v>
      </c>
      <c r="F535" t="s">
        <v>360</v>
      </c>
      <c r="G535">
        <v>-42831</v>
      </c>
      <c r="H535" t="s">
        <v>147</v>
      </c>
      <c r="I535" t="s">
        <v>331</v>
      </c>
    </row>
    <row r="536" spans="1:9">
      <c r="A536" s="50">
        <v>45798</v>
      </c>
      <c r="B536" s="51">
        <v>0.7036689814814815</v>
      </c>
      <c r="C536" t="s">
        <v>145</v>
      </c>
      <c r="D536" t="s">
        <v>40</v>
      </c>
      <c r="E536" t="s">
        <v>47</v>
      </c>
      <c r="F536" t="s">
        <v>361</v>
      </c>
      <c r="G536">
        <v>-75817</v>
      </c>
      <c r="H536" t="s">
        <v>147</v>
      </c>
      <c r="I536" t="s">
        <v>331</v>
      </c>
    </row>
    <row r="537" spans="1:9">
      <c r="A537" s="50">
        <v>45798</v>
      </c>
      <c r="B537" s="51">
        <v>0.6486111111111111</v>
      </c>
      <c r="C537" t="s">
        <v>145</v>
      </c>
      <c r="D537" t="s">
        <v>40</v>
      </c>
      <c r="E537" t="s">
        <v>47</v>
      </c>
      <c r="F537" t="s">
        <v>362</v>
      </c>
      <c r="G537">
        <v>-34230</v>
      </c>
      <c r="H537" t="s">
        <v>147</v>
      </c>
      <c r="I537" t="s">
        <v>331</v>
      </c>
    </row>
    <row r="538" spans="1:9">
      <c r="A538" s="50">
        <v>45798</v>
      </c>
      <c r="B538" s="51">
        <v>0.5481828703703704</v>
      </c>
      <c r="C538" t="s">
        <v>145</v>
      </c>
      <c r="D538" t="s">
        <v>46</v>
      </c>
      <c r="E538" t="s">
        <v>47</v>
      </c>
      <c r="F538" t="s">
        <v>363</v>
      </c>
      <c r="G538">
        <v>-8612</v>
      </c>
      <c r="H538" t="s">
        <v>147</v>
      </c>
      <c r="I538" t="s">
        <v>331</v>
      </c>
    </row>
    <row r="539" spans="1:9">
      <c r="A539" s="50">
        <v>45797</v>
      </c>
      <c r="B539" s="51">
        <v>0.7883449074074074</v>
      </c>
      <c r="C539" t="s">
        <v>145</v>
      </c>
      <c r="D539" t="s">
        <v>35</v>
      </c>
      <c r="E539" t="s">
        <v>204</v>
      </c>
      <c r="F539" t="s">
        <v>364</v>
      </c>
      <c r="G539">
        <v>-99360</v>
      </c>
      <c r="H539" t="s">
        <v>147</v>
      </c>
      <c r="I539" t="s">
        <v>57</v>
      </c>
    </row>
    <row r="540" spans="1:9">
      <c r="A540" s="50">
        <v>45797</v>
      </c>
      <c r="B540" s="51">
        <v>0.7882175925925926</v>
      </c>
      <c r="C540" t="s">
        <v>145</v>
      </c>
      <c r="D540" t="s">
        <v>40</v>
      </c>
      <c r="E540" t="s">
        <v>47</v>
      </c>
      <c r="F540" t="s">
        <v>343</v>
      </c>
      <c r="G540">
        <v>-4797</v>
      </c>
      <c r="H540" t="s">
        <v>147</v>
      </c>
      <c r="I540" t="s">
        <v>331</v>
      </c>
    </row>
    <row r="541" spans="1:9">
      <c r="A541" s="50">
        <v>45797</v>
      </c>
      <c r="B541" s="51">
        <v>0.7677662037037037</v>
      </c>
      <c r="C541" t="s">
        <v>145</v>
      </c>
      <c r="D541" t="s">
        <v>42</v>
      </c>
      <c r="E541" t="s">
        <v>47</v>
      </c>
      <c r="F541" t="s">
        <v>365</v>
      </c>
      <c r="G541">
        <v>-5992</v>
      </c>
      <c r="H541" t="s">
        <v>147</v>
      </c>
      <c r="I541" t="s">
        <v>331</v>
      </c>
    </row>
    <row r="542" spans="1:9">
      <c r="A542" s="50">
        <v>45797</v>
      </c>
      <c r="B542" s="51">
        <v>0.7586342592592593</v>
      </c>
      <c r="C542" t="s">
        <v>145</v>
      </c>
      <c r="D542" t="s">
        <v>46</v>
      </c>
      <c r="E542" t="s">
        <v>47</v>
      </c>
      <c r="F542" t="s">
        <v>366</v>
      </c>
      <c r="G542">
        <v>-21842</v>
      </c>
      <c r="H542" t="s">
        <v>147</v>
      </c>
      <c r="I542" t="s">
        <v>331</v>
      </c>
    </row>
    <row r="543" spans="1:9">
      <c r="A543" s="50">
        <v>45797</v>
      </c>
      <c r="B543" s="51">
        <v>0.7289467592592592</v>
      </c>
      <c r="C543" t="s">
        <v>145</v>
      </c>
      <c r="D543" t="s">
        <v>40</v>
      </c>
      <c r="E543" t="s">
        <v>47</v>
      </c>
      <c r="F543" t="s">
        <v>336</v>
      </c>
      <c r="G543">
        <v>-47465</v>
      </c>
      <c r="H543" t="s">
        <v>147</v>
      </c>
      <c r="I543" t="s">
        <v>331</v>
      </c>
    </row>
    <row r="544" spans="1:9">
      <c r="A544" s="50">
        <v>45797</v>
      </c>
      <c r="B544" s="51">
        <v>0.4816782407407407</v>
      </c>
      <c r="C544" t="s">
        <v>151</v>
      </c>
      <c r="D544" t="s">
        <v>64</v>
      </c>
      <c r="E544" t="s">
        <v>47</v>
      </c>
      <c r="F544" t="s">
        <v>367</v>
      </c>
      <c r="G544">
        <v>-4629</v>
      </c>
      <c r="H544" t="s">
        <v>147</v>
      </c>
      <c r="I544" t="s">
        <v>57</v>
      </c>
    </row>
    <row r="545" spans="1:9">
      <c r="A545" s="50">
        <v>45797</v>
      </c>
      <c r="B545" s="51">
        <v>0.4736458333333333</v>
      </c>
      <c r="C545" t="s">
        <v>145</v>
      </c>
      <c r="D545" t="s">
        <v>41</v>
      </c>
      <c r="E545" t="s">
        <v>47</v>
      </c>
      <c r="F545" t="s">
        <v>368</v>
      </c>
      <c r="G545">
        <v>-13111</v>
      </c>
      <c r="H545" t="s">
        <v>147</v>
      </c>
      <c r="I545" t="s">
        <v>331</v>
      </c>
    </row>
    <row r="546" spans="1:9">
      <c r="A546" s="50">
        <v>45797</v>
      </c>
      <c r="B546" s="51">
        <v>0.4588657407407408</v>
      </c>
      <c r="C546" t="s">
        <v>145</v>
      </c>
      <c r="D546" t="s">
        <v>42</v>
      </c>
      <c r="E546" t="s">
        <v>47</v>
      </c>
      <c r="F546" t="s">
        <v>333</v>
      </c>
      <c r="G546">
        <v>-199992</v>
      </c>
      <c r="H546" t="s">
        <v>147</v>
      </c>
      <c r="I546" t="s">
        <v>57</v>
      </c>
    </row>
    <row r="547" spans="1:9">
      <c r="A547" s="50">
        <v>45797</v>
      </c>
      <c r="B547" s="51">
        <v>0.4395717592592592</v>
      </c>
      <c r="C547" t="s">
        <v>145</v>
      </c>
      <c r="D547" t="s">
        <v>41</v>
      </c>
      <c r="E547" t="s">
        <v>47</v>
      </c>
      <c r="F547" t="s">
        <v>369</v>
      </c>
      <c r="G547">
        <v>-17115</v>
      </c>
      <c r="H547" t="s">
        <v>147</v>
      </c>
      <c r="I547" t="s">
        <v>331</v>
      </c>
    </row>
    <row r="548" spans="1:9">
      <c r="A548" s="50">
        <v>45796</v>
      </c>
      <c r="B548" s="51">
        <v>0.8309375</v>
      </c>
      <c r="C548" t="s">
        <v>145</v>
      </c>
      <c r="D548" t="s">
        <v>40</v>
      </c>
      <c r="E548" t="s">
        <v>47</v>
      </c>
      <c r="F548" t="s">
        <v>370</v>
      </c>
      <c r="G548">
        <v>-200320</v>
      </c>
      <c r="H548" t="s">
        <v>147</v>
      </c>
      <c r="I548" t="s">
        <v>331</v>
      </c>
    </row>
    <row r="549" spans="1:9">
      <c r="A549" s="50">
        <v>45796</v>
      </c>
      <c r="B549" s="51">
        <v>0.7342361111111111</v>
      </c>
      <c r="C549" t="s">
        <v>145</v>
      </c>
      <c r="D549" t="s">
        <v>38</v>
      </c>
      <c r="E549" t="s">
        <v>47</v>
      </c>
      <c r="F549" t="s">
        <v>371</v>
      </c>
      <c r="G549">
        <v>-7540</v>
      </c>
      <c r="H549" t="s">
        <v>147</v>
      </c>
      <c r="I549" t="s">
        <v>331</v>
      </c>
    </row>
    <row r="550" spans="1:9">
      <c r="A550" s="50">
        <v>45796</v>
      </c>
      <c r="B550" s="51">
        <v>0.659699074074074</v>
      </c>
      <c r="C550" t="s">
        <v>145</v>
      </c>
      <c r="D550" t="s">
        <v>46</v>
      </c>
      <c r="E550" t="s">
        <v>47</v>
      </c>
      <c r="F550" t="s">
        <v>372</v>
      </c>
      <c r="G550">
        <v>-17220</v>
      </c>
      <c r="H550" t="s">
        <v>147</v>
      </c>
      <c r="I550" t="s">
        <v>331</v>
      </c>
    </row>
    <row r="551" spans="1:9">
      <c r="A551" s="50">
        <v>45796</v>
      </c>
      <c r="B551" s="51">
        <v>0.6436458333333334</v>
      </c>
      <c r="C551" t="s">
        <v>145</v>
      </c>
      <c r="D551" t="s">
        <v>45</v>
      </c>
      <c r="E551" t="s">
        <v>47</v>
      </c>
      <c r="F551" t="s">
        <v>373</v>
      </c>
      <c r="G551">
        <v>-9800</v>
      </c>
      <c r="H551" t="s">
        <v>147</v>
      </c>
      <c r="I551" t="s">
        <v>331</v>
      </c>
    </row>
    <row r="552" spans="1:9">
      <c r="A552" s="50">
        <v>45796</v>
      </c>
      <c r="B552" s="51">
        <v>0.5990046296296296</v>
      </c>
      <c r="C552" t="s">
        <v>145</v>
      </c>
      <c r="D552" t="s">
        <v>45</v>
      </c>
      <c r="E552" t="s">
        <v>47</v>
      </c>
      <c r="F552" t="s">
        <v>374</v>
      </c>
      <c r="G552">
        <v>-7246</v>
      </c>
      <c r="H552" t="s">
        <v>147</v>
      </c>
      <c r="I552" t="s">
        <v>331</v>
      </c>
    </row>
    <row r="553" spans="1:9">
      <c r="A553" s="50">
        <v>45796</v>
      </c>
      <c r="B553" s="51">
        <v>0.5874305555555556</v>
      </c>
      <c r="C553" t="s">
        <v>145</v>
      </c>
      <c r="D553" t="s">
        <v>46</v>
      </c>
      <c r="E553" t="s">
        <v>47</v>
      </c>
      <c r="F553" t="s">
        <v>375</v>
      </c>
      <c r="G553">
        <v>-49088</v>
      </c>
      <c r="H553" t="s">
        <v>147</v>
      </c>
      <c r="I553" t="s">
        <v>331</v>
      </c>
    </row>
    <row r="554" spans="1:9">
      <c r="A554" s="50">
        <v>45796</v>
      </c>
      <c r="B554" s="51">
        <v>0.5670138888888889</v>
      </c>
      <c r="C554" t="s">
        <v>145</v>
      </c>
      <c r="D554" t="s">
        <v>46</v>
      </c>
      <c r="E554" t="s">
        <v>47</v>
      </c>
      <c r="F554" t="s">
        <v>376</v>
      </c>
      <c r="G554">
        <v>-3441</v>
      </c>
      <c r="H554" t="s">
        <v>147</v>
      </c>
      <c r="I554" t="s">
        <v>331</v>
      </c>
    </row>
    <row r="555" spans="1:9">
      <c r="A555" s="50">
        <v>45796</v>
      </c>
      <c r="B555" s="51">
        <v>0.5549189814814814</v>
      </c>
      <c r="C555" t="s">
        <v>145</v>
      </c>
      <c r="D555" t="s">
        <v>41</v>
      </c>
      <c r="E555" t="s">
        <v>47</v>
      </c>
      <c r="F555" t="s">
        <v>377</v>
      </c>
      <c r="G555">
        <v>-44779</v>
      </c>
      <c r="H555" t="s">
        <v>147</v>
      </c>
      <c r="I555" t="s">
        <v>331</v>
      </c>
    </row>
    <row r="556" spans="1:9">
      <c r="A556" s="50">
        <v>45796</v>
      </c>
      <c r="B556" s="51">
        <v>0.5525</v>
      </c>
      <c r="C556" t="s">
        <v>145</v>
      </c>
      <c r="D556" t="s">
        <v>42</v>
      </c>
      <c r="E556" t="s">
        <v>47</v>
      </c>
      <c r="F556" t="s">
        <v>333</v>
      </c>
      <c r="G556">
        <v>-499995</v>
      </c>
      <c r="H556" t="s">
        <v>147</v>
      </c>
      <c r="I556" t="s">
        <v>57</v>
      </c>
    </row>
    <row r="557" spans="1:9">
      <c r="A557" s="50">
        <v>45796</v>
      </c>
      <c r="B557" s="51">
        <v>0.5502430555555555</v>
      </c>
      <c r="C557" t="s">
        <v>151</v>
      </c>
      <c r="D557" t="s">
        <v>160</v>
      </c>
      <c r="E557" t="s">
        <v>47</v>
      </c>
      <c r="F557" t="s">
        <v>7</v>
      </c>
      <c r="G557">
        <v>7500000</v>
      </c>
      <c r="H557" t="s">
        <v>147</v>
      </c>
      <c r="I557" t="s">
        <v>61</v>
      </c>
    </row>
    <row r="558" spans="1:9">
      <c r="A558" s="50">
        <v>45796</v>
      </c>
      <c r="B558" s="51">
        <v>0.5502430555555555</v>
      </c>
      <c r="C558" t="s">
        <v>151</v>
      </c>
      <c r="D558" t="s">
        <v>160</v>
      </c>
      <c r="E558" t="s">
        <v>47</v>
      </c>
      <c r="F558" t="s">
        <v>7</v>
      </c>
      <c r="G558">
        <v>-7500000</v>
      </c>
      <c r="H558" t="s">
        <v>147</v>
      </c>
      <c r="I558" t="s">
        <v>57</v>
      </c>
    </row>
    <row r="559" spans="1:9">
      <c r="A559" s="50">
        <v>45796</v>
      </c>
      <c r="B559" s="51">
        <v>0.5318518518518518</v>
      </c>
      <c r="C559" t="s">
        <v>151</v>
      </c>
      <c r="D559" t="s">
        <v>151</v>
      </c>
      <c r="E559" t="s">
        <v>47</v>
      </c>
      <c r="F559" t="s">
        <v>378</v>
      </c>
      <c r="G559">
        <v>8000000</v>
      </c>
      <c r="H559" t="s">
        <v>147</v>
      </c>
      <c r="I559" t="s">
        <v>57</v>
      </c>
    </row>
    <row r="560" spans="1:9">
      <c r="A560" s="50">
        <v>45796</v>
      </c>
      <c r="B560" s="51">
        <v>0.5046064814814815</v>
      </c>
      <c r="C560" t="s">
        <v>145</v>
      </c>
      <c r="D560" t="s">
        <v>41</v>
      </c>
      <c r="E560" t="s">
        <v>47</v>
      </c>
      <c r="F560" t="s">
        <v>379</v>
      </c>
      <c r="G560">
        <v>-164400</v>
      </c>
      <c r="H560" t="s">
        <v>147</v>
      </c>
      <c r="I560" t="s">
        <v>331</v>
      </c>
    </row>
    <row r="561" spans="1:9">
      <c r="A561" s="50">
        <v>45796</v>
      </c>
      <c r="B561" s="51">
        <v>0.4923842592592593</v>
      </c>
      <c r="C561" t="s">
        <v>145</v>
      </c>
      <c r="D561" t="s">
        <v>42</v>
      </c>
      <c r="E561" t="s">
        <v>47</v>
      </c>
      <c r="F561" t="s">
        <v>333</v>
      </c>
      <c r="G561">
        <v>-9539</v>
      </c>
      <c r="H561" t="s">
        <v>147</v>
      </c>
      <c r="I561" t="s">
        <v>57</v>
      </c>
    </row>
    <row r="562" spans="1:9">
      <c r="A562" s="50">
        <v>45796</v>
      </c>
      <c r="B562" s="51">
        <v>0.4923726851851852</v>
      </c>
      <c r="C562" t="s">
        <v>145</v>
      </c>
      <c r="D562" t="s">
        <v>45</v>
      </c>
      <c r="E562" t="s">
        <v>47</v>
      </c>
      <c r="F562" t="s">
        <v>380</v>
      </c>
      <c r="G562">
        <v>-9663</v>
      </c>
      <c r="H562" t="s">
        <v>147</v>
      </c>
      <c r="I562" t="s">
        <v>331</v>
      </c>
    </row>
    <row r="563" spans="1:9">
      <c r="A563" s="50">
        <v>45795</v>
      </c>
      <c r="B563" s="51">
        <v>0.9821412037037037</v>
      </c>
      <c r="C563" t="s">
        <v>145</v>
      </c>
      <c r="D563" t="s">
        <v>38</v>
      </c>
      <c r="E563" t="s">
        <v>47</v>
      </c>
      <c r="F563" t="s">
        <v>381</v>
      </c>
      <c r="G563">
        <v>-4638</v>
      </c>
      <c r="H563" t="s">
        <v>147</v>
      </c>
      <c r="I563" t="s">
        <v>148</v>
      </c>
    </row>
    <row r="564" spans="1:9">
      <c r="A564" s="50">
        <v>45795</v>
      </c>
      <c r="B564" s="51">
        <v>0.9766666666666667</v>
      </c>
      <c r="C564" t="s">
        <v>145</v>
      </c>
      <c r="D564" t="s">
        <v>42</v>
      </c>
      <c r="E564" t="s">
        <v>47</v>
      </c>
      <c r="F564" t="s">
        <v>333</v>
      </c>
      <c r="G564">
        <v>-42708</v>
      </c>
      <c r="H564" t="s">
        <v>147</v>
      </c>
      <c r="I564" t="s">
        <v>57</v>
      </c>
    </row>
    <row r="565" spans="1:9">
      <c r="A565" s="50">
        <v>45795</v>
      </c>
      <c r="B565" s="51">
        <v>0.9766550925925926</v>
      </c>
      <c r="C565" t="s">
        <v>145</v>
      </c>
      <c r="D565" t="s">
        <v>40</v>
      </c>
      <c r="E565" t="s">
        <v>47</v>
      </c>
      <c r="F565" t="s">
        <v>382</v>
      </c>
      <c r="G565">
        <v>-43147</v>
      </c>
      <c r="H565" t="s">
        <v>147</v>
      </c>
      <c r="I565" t="s">
        <v>331</v>
      </c>
    </row>
    <row r="566" spans="1:9">
      <c r="A566" s="50">
        <v>45795</v>
      </c>
      <c r="B566" s="51">
        <v>0.9211111111111111</v>
      </c>
      <c r="C566" t="s">
        <v>145</v>
      </c>
      <c r="D566" t="s">
        <v>42</v>
      </c>
      <c r="E566" t="s">
        <v>47</v>
      </c>
      <c r="F566" t="s">
        <v>333</v>
      </c>
      <c r="G566">
        <v>-2288</v>
      </c>
      <c r="H566" t="s">
        <v>147</v>
      </c>
      <c r="I566" t="s">
        <v>57</v>
      </c>
    </row>
    <row r="567" spans="1:9">
      <c r="A567" s="50">
        <v>45795</v>
      </c>
      <c r="B567" s="51">
        <v>0.9211111111111111</v>
      </c>
      <c r="C567" t="s">
        <v>145</v>
      </c>
      <c r="D567" t="s">
        <v>46</v>
      </c>
      <c r="E567" t="s">
        <v>47</v>
      </c>
      <c r="F567" t="s">
        <v>383</v>
      </c>
      <c r="G567">
        <v>-2305</v>
      </c>
      <c r="H567" t="s">
        <v>147</v>
      </c>
      <c r="I567" t="s">
        <v>331</v>
      </c>
    </row>
    <row r="568" spans="1:9">
      <c r="A568" s="50">
        <v>45795</v>
      </c>
      <c r="B568" s="51">
        <v>0.8442708333333333</v>
      </c>
      <c r="C568" t="s">
        <v>145</v>
      </c>
      <c r="D568" t="s">
        <v>42</v>
      </c>
      <c r="E568" t="s">
        <v>47</v>
      </c>
      <c r="F568" t="s">
        <v>333</v>
      </c>
      <c r="G568">
        <v>-41914</v>
      </c>
      <c r="H568" t="s">
        <v>147</v>
      </c>
      <c r="I568" t="s">
        <v>57</v>
      </c>
    </row>
    <row r="569" spans="1:9">
      <c r="A569" s="50">
        <v>45795</v>
      </c>
      <c r="B569" s="51">
        <v>0.8442708333333333</v>
      </c>
      <c r="C569" t="s">
        <v>145</v>
      </c>
      <c r="D569" t="s">
        <v>41</v>
      </c>
      <c r="E569" t="s">
        <v>47</v>
      </c>
      <c r="F569" t="s">
        <v>384</v>
      </c>
      <c r="G569">
        <v>-42341</v>
      </c>
      <c r="H569" t="s">
        <v>147</v>
      </c>
      <c r="I569" t="s">
        <v>331</v>
      </c>
    </row>
    <row r="570" spans="1:9">
      <c r="A570" s="50">
        <v>45795</v>
      </c>
      <c r="B570" s="51">
        <v>0.8072800925925926</v>
      </c>
      <c r="C570" t="s">
        <v>145</v>
      </c>
      <c r="D570" t="s">
        <v>42</v>
      </c>
      <c r="E570" t="s">
        <v>47</v>
      </c>
      <c r="F570" t="s">
        <v>333</v>
      </c>
      <c r="G570">
        <v>-44792</v>
      </c>
      <c r="H570" t="s">
        <v>147</v>
      </c>
      <c r="I570" t="s">
        <v>57</v>
      </c>
    </row>
    <row r="571" spans="1:9">
      <c r="A571" s="50">
        <v>45795</v>
      </c>
      <c r="B571" s="51">
        <v>0.8072800925925926</v>
      </c>
      <c r="C571" t="s">
        <v>145</v>
      </c>
      <c r="D571" t="s">
        <v>42</v>
      </c>
      <c r="E571" t="s">
        <v>47</v>
      </c>
      <c r="F571" t="s">
        <v>385</v>
      </c>
      <c r="G571">
        <v>-45240</v>
      </c>
      <c r="H571" t="s">
        <v>147</v>
      </c>
      <c r="I571" t="s">
        <v>331</v>
      </c>
    </row>
    <row r="572" spans="1:9">
      <c r="A572" s="50">
        <v>45795</v>
      </c>
      <c r="B572" s="51">
        <v>0.8067245370370371</v>
      </c>
      <c r="C572" t="s">
        <v>145</v>
      </c>
      <c r="D572" t="s">
        <v>42</v>
      </c>
      <c r="E572" t="s">
        <v>47</v>
      </c>
      <c r="F572" t="s">
        <v>333</v>
      </c>
      <c r="G572">
        <v>-38888</v>
      </c>
      <c r="H572" t="s">
        <v>147</v>
      </c>
      <c r="I572" t="s">
        <v>57</v>
      </c>
    </row>
    <row r="573" spans="1:9">
      <c r="A573" s="50">
        <v>45795</v>
      </c>
      <c r="B573" s="51">
        <v>0.8067245370370371</v>
      </c>
      <c r="C573" t="s">
        <v>145</v>
      </c>
      <c r="D573" t="s">
        <v>42</v>
      </c>
      <c r="E573" t="s">
        <v>47</v>
      </c>
      <c r="F573" t="s">
        <v>385</v>
      </c>
      <c r="G573">
        <v>-45240</v>
      </c>
      <c r="H573" t="s">
        <v>147</v>
      </c>
      <c r="I573" t="s">
        <v>331</v>
      </c>
    </row>
    <row r="574" spans="1:9">
      <c r="A574" s="50">
        <v>45795</v>
      </c>
      <c r="B574" s="51">
        <v>0.4390625</v>
      </c>
      <c r="C574" t="s">
        <v>145</v>
      </c>
      <c r="D574" t="s">
        <v>45</v>
      </c>
      <c r="E574" t="s">
        <v>47</v>
      </c>
      <c r="F574" t="s">
        <v>386</v>
      </c>
      <c r="G574">
        <v>-19000</v>
      </c>
      <c r="H574" t="s">
        <v>147</v>
      </c>
      <c r="I574" t="s">
        <v>148</v>
      </c>
    </row>
    <row r="575" spans="1:9">
      <c r="A575" s="50">
        <v>45795</v>
      </c>
      <c r="B575" s="51">
        <v>0.4137962962962963</v>
      </c>
      <c r="C575" t="s">
        <v>151</v>
      </c>
      <c r="D575" t="s">
        <v>160</v>
      </c>
      <c r="E575" t="s">
        <v>47</v>
      </c>
      <c r="F575" t="s">
        <v>7</v>
      </c>
      <c r="G575">
        <v>400000</v>
      </c>
      <c r="H575" t="s">
        <v>147</v>
      </c>
      <c r="I575" t="s">
        <v>57</v>
      </c>
    </row>
    <row r="576" spans="1:9">
      <c r="A576" s="50">
        <v>45795</v>
      </c>
      <c r="B576" s="51">
        <v>0.4137962962962963</v>
      </c>
      <c r="C576" t="s">
        <v>151</v>
      </c>
      <c r="D576" t="s">
        <v>160</v>
      </c>
      <c r="E576" t="s">
        <v>47</v>
      </c>
      <c r="F576" t="s">
        <v>161</v>
      </c>
      <c r="G576">
        <v>-400000</v>
      </c>
      <c r="H576" t="s">
        <v>147</v>
      </c>
      <c r="I576" t="s">
        <v>162</v>
      </c>
    </row>
    <row r="577" spans="1:9">
      <c r="A577" s="50">
        <v>45795</v>
      </c>
      <c r="B577" s="51">
        <v>0.3121875</v>
      </c>
      <c r="C577" t="s">
        <v>145</v>
      </c>
      <c r="D577" t="s">
        <v>43</v>
      </c>
      <c r="E577" t="s">
        <v>47</v>
      </c>
      <c r="F577" t="s">
        <v>387</v>
      </c>
      <c r="G577">
        <v>-12000</v>
      </c>
      <c r="H577" t="s">
        <v>147</v>
      </c>
      <c r="I577" t="s">
        <v>148</v>
      </c>
    </row>
    <row r="578" spans="1:9">
      <c r="A578" s="50">
        <v>45795</v>
      </c>
      <c r="B578" s="51">
        <v>0.3121875</v>
      </c>
      <c r="C578" t="s">
        <v>145</v>
      </c>
      <c r="D578" t="s">
        <v>43</v>
      </c>
      <c r="E578" t="s">
        <v>47</v>
      </c>
      <c r="F578" t="s">
        <v>387</v>
      </c>
      <c r="G578">
        <v>-12000</v>
      </c>
      <c r="H578" t="s">
        <v>147</v>
      </c>
      <c r="I578" t="s">
        <v>148</v>
      </c>
    </row>
    <row r="579" spans="1:9">
      <c r="A579" s="50">
        <v>45795</v>
      </c>
      <c r="B579" s="51">
        <v>0.2903356481481482</v>
      </c>
      <c r="C579" t="s">
        <v>145</v>
      </c>
      <c r="D579" t="s">
        <v>40</v>
      </c>
      <c r="E579" t="s">
        <v>47</v>
      </c>
      <c r="F579" t="s">
        <v>388</v>
      </c>
      <c r="G579">
        <v>-22000</v>
      </c>
      <c r="H579" t="s">
        <v>147</v>
      </c>
      <c r="I579" t="s">
        <v>148</v>
      </c>
    </row>
    <row r="580" spans="1:9">
      <c r="A580" s="50">
        <v>45795</v>
      </c>
      <c r="B580" s="51">
        <v>0.2042013888888889</v>
      </c>
      <c r="C580" t="s">
        <v>145</v>
      </c>
      <c r="D580" t="s">
        <v>42</v>
      </c>
      <c r="E580" t="s">
        <v>47</v>
      </c>
      <c r="F580" t="s">
        <v>153</v>
      </c>
      <c r="G580">
        <v>-20800</v>
      </c>
      <c r="H580" t="s">
        <v>147</v>
      </c>
      <c r="I580" t="s">
        <v>154</v>
      </c>
    </row>
    <row r="581" spans="1:9">
      <c r="A581" s="50">
        <v>45794</v>
      </c>
      <c r="B581" s="51">
        <v>0.9324652777777778</v>
      </c>
      <c r="C581" t="s">
        <v>145</v>
      </c>
      <c r="D581" t="s">
        <v>45</v>
      </c>
      <c r="E581" t="s">
        <v>47</v>
      </c>
      <c r="F581" t="s">
        <v>389</v>
      </c>
      <c r="G581">
        <v>-4400</v>
      </c>
      <c r="H581" t="s">
        <v>147</v>
      </c>
      <c r="I581" t="s">
        <v>165</v>
      </c>
    </row>
    <row r="582" spans="1:9">
      <c r="A582" s="50">
        <v>45794</v>
      </c>
      <c r="B582" s="51">
        <v>0.9309143518518519</v>
      </c>
      <c r="C582" t="s">
        <v>145</v>
      </c>
      <c r="D582" t="s">
        <v>40</v>
      </c>
      <c r="E582" t="s">
        <v>47</v>
      </c>
      <c r="F582" t="s">
        <v>390</v>
      </c>
      <c r="G582">
        <v>-52000</v>
      </c>
      <c r="H582" t="s">
        <v>147</v>
      </c>
      <c r="I582" t="s">
        <v>165</v>
      </c>
    </row>
    <row r="583" spans="1:9">
      <c r="A583" s="50">
        <v>45794</v>
      </c>
      <c r="B583" s="51">
        <v>0.9078587962962963</v>
      </c>
      <c r="C583" t="s">
        <v>151</v>
      </c>
      <c r="D583" t="s">
        <v>151</v>
      </c>
      <c r="E583" t="s">
        <v>47</v>
      </c>
      <c r="F583" t="s">
        <v>391</v>
      </c>
      <c r="G583">
        <v>50000</v>
      </c>
      <c r="H583" t="s">
        <v>147</v>
      </c>
      <c r="I583" t="s">
        <v>162</v>
      </c>
    </row>
    <row r="584" spans="1:9">
      <c r="A584" s="50">
        <v>45794</v>
      </c>
      <c r="B584" s="51">
        <v>0.8808680555555556</v>
      </c>
      <c r="C584" t="s">
        <v>151</v>
      </c>
      <c r="D584" t="s">
        <v>160</v>
      </c>
      <c r="E584" t="s">
        <v>47</v>
      </c>
      <c r="F584" t="s">
        <v>7</v>
      </c>
      <c r="G584">
        <v>3000000</v>
      </c>
      <c r="H584" t="s">
        <v>147</v>
      </c>
      <c r="I584" t="s">
        <v>61</v>
      </c>
    </row>
    <row r="585" spans="1:9">
      <c r="A585" s="50">
        <v>45794</v>
      </c>
      <c r="B585" s="51">
        <v>0.8808680555555556</v>
      </c>
      <c r="C585" t="s">
        <v>151</v>
      </c>
      <c r="D585" t="s">
        <v>160</v>
      </c>
      <c r="E585" t="s">
        <v>47</v>
      </c>
      <c r="F585" t="s">
        <v>7</v>
      </c>
      <c r="G585">
        <v>-3000000</v>
      </c>
      <c r="H585" t="s">
        <v>147</v>
      </c>
      <c r="I585" t="s">
        <v>57</v>
      </c>
    </row>
    <row r="586" spans="1:9">
      <c r="A586" s="50">
        <v>45794</v>
      </c>
      <c r="B586" s="51">
        <v>0.8796296296296297</v>
      </c>
      <c r="C586" t="s">
        <v>151</v>
      </c>
      <c r="D586" t="s">
        <v>151</v>
      </c>
      <c r="E586" t="s">
        <v>47</v>
      </c>
      <c r="F586" t="s">
        <v>392</v>
      </c>
      <c r="G586">
        <v>-50000</v>
      </c>
      <c r="H586" t="s">
        <v>147</v>
      </c>
      <c r="I586" t="s">
        <v>57</v>
      </c>
    </row>
    <row r="587" spans="1:9">
      <c r="A587" s="50">
        <v>45794</v>
      </c>
      <c r="B587" s="51">
        <v>0.8791087962962963</v>
      </c>
      <c r="C587" t="s">
        <v>151</v>
      </c>
      <c r="D587" t="s">
        <v>151</v>
      </c>
      <c r="E587" t="s">
        <v>47</v>
      </c>
      <c r="F587" t="s">
        <v>392</v>
      </c>
      <c r="G587">
        <v>-6000000</v>
      </c>
      <c r="H587" t="s">
        <v>147</v>
      </c>
      <c r="I587" t="s">
        <v>57</v>
      </c>
    </row>
    <row r="588" spans="1:9">
      <c r="A588" s="50">
        <v>45794</v>
      </c>
      <c r="B588" s="51">
        <v>0.8786342592592593</v>
      </c>
      <c r="C588" t="s">
        <v>151</v>
      </c>
      <c r="D588" t="s">
        <v>151</v>
      </c>
      <c r="E588" t="s">
        <v>47</v>
      </c>
      <c r="F588" t="s">
        <v>393</v>
      </c>
      <c r="G588">
        <v>-6000000</v>
      </c>
      <c r="H588" t="s">
        <v>147</v>
      </c>
      <c r="I588" t="s">
        <v>57</v>
      </c>
    </row>
    <row r="589" spans="1:9">
      <c r="A589" s="50">
        <v>45794</v>
      </c>
      <c r="B589" s="51">
        <v>0.8780439814814814</v>
      </c>
      <c r="C589" t="s">
        <v>151</v>
      </c>
      <c r="D589" t="s">
        <v>151</v>
      </c>
      <c r="E589" t="s">
        <v>47</v>
      </c>
      <c r="F589" t="s">
        <v>393</v>
      </c>
      <c r="G589">
        <v>-6000000</v>
      </c>
      <c r="H589" t="s">
        <v>147</v>
      </c>
      <c r="I589" t="s">
        <v>57</v>
      </c>
    </row>
    <row r="590" spans="1:9">
      <c r="A590" s="50">
        <v>45794</v>
      </c>
      <c r="B590" s="51">
        <v>0.8740162037037037</v>
      </c>
      <c r="C590" t="s">
        <v>151</v>
      </c>
      <c r="D590" t="s">
        <v>47</v>
      </c>
      <c r="E590" t="s">
        <v>47</v>
      </c>
      <c r="F590" t="s">
        <v>394</v>
      </c>
      <c r="G590">
        <v>1150000</v>
      </c>
      <c r="H590" t="s">
        <v>147</v>
      </c>
      <c r="I590" t="s">
        <v>57</v>
      </c>
    </row>
    <row r="591" spans="1:9">
      <c r="A591" s="50">
        <v>45794</v>
      </c>
      <c r="B591" s="51">
        <v>0.8731481481481481</v>
      </c>
      <c r="C591" t="s">
        <v>151</v>
      </c>
      <c r="D591" t="s">
        <v>47</v>
      </c>
      <c r="E591" t="s">
        <v>47</v>
      </c>
      <c r="F591" t="s">
        <v>394</v>
      </c>
      <c r="G591">
        <v>4400000</v>
      </c>
      <c r="H591" t="s">
        <v>147</v>
      </c>
      <c r="I591" t="s">
        <v>57</v>
      </c>
    </row>
    <row r="592" spans="1:9">
      <c r="A592" s="50">
        <v>45794</v>
      </c>
      <c r="B592" s="51">
        <v>0.872337962962963</v>
      </c>
      <c r="C592" t="s">
        <v>151</v>
      </c>
      <c r="D592" t="s">
        <v>47</v>
      </c>
      <c r="E592" t="s">
        <v>47</v>
      </c>
      <c r="F592" t="s">
        <v>394</v>
      </c>
      <c r="G592">
        <v>5650000</v>
      </c>
      <c r="H592" t="s">
        <v>147</v>
      </c>
      <c r="I592" t="s">
        <v>57</v>
      </c>
    </row>
    <row r="593" spans="1:9">
      <c r="A593" s="50">
        <v>45794</v>
      </c>
      <c r="B593" s="51">
        <v>0.871087962962963</v>
      </c>
      <c r="C593" t="s">
        <v>151</v>
      </c>
      <c r="D593" t="s">
        <v>47</v>
      </c>
      <c r="E593" t="s">
        <v>47</v>
      </c>
      <c r="F593" t="s">
        <v>394</v>
      </c>
      <c r="G593">
        <v>6900000</v>
      </c>
      <c r="H593" t="s">
        <v>147</v>
      </c>
      <c r="I593" t="s">
        <v>57</v>
      </c>
    </row>
    <row r="594" spans="1:9">
      <c r="A594" s="50">
        <v>45794</v>
      </c>
      <c r="B594" s="51">
        <v>0.8696412037037037</v>
      </c>
      <c r="C594" t="s">
        <v>151</v>
      </c>
      <c r="D594" t="s">
        <v>47</v>
      </c>
      <c r="E594" t="s">
        <v>47</v>
      </c>
      <c r="F594" t="s">
        <v>394</v>
      </c>
      <c r="G594">
        <v>2930000</v>
      </c>
      <c r="H594" t="s">
        <v>147</v>
      </c>
      <c r="I594" t="s">
        <v>57</v>
      </c>
    </row>
    <row r="595" spans="1:9">
      <c r="A595" s="50">
        <v>45794</v>
      </c>
      <c r="B595" s="51">
        <v>0.8464814814814815</v>
      </c>
      <c r="C595" t="s">
        <v>145</v>
      </c>
      <c r="D595" t="s">
        <v>42</v>
      </c>
      <c r="E595" t="s">
        <v>47</v>
      </c>
      <c r="F595" t="s">
        <v>153</v>
      </c>
      <c r="G595">
        <v>-13900</v>
      </c>
      <c r="H595" t="s">
        <v>147</v>
      </c>
      <c r="I595" t="s">
        <v>154</v>
      </c>
    </row>
    <row r="596" spans="1:9">
      <c r="A596" s="50">
        <v>45794</v>
      </c>
      <c r="B596" s="51">
        <v>0.8317013888888889</v>
      </c>
      <c r="C596" t="s">
        <v>145</v>
      </c>
      <c r="D596" t="s">
        <v>42</v>
      </c>
      <c r="E596" t="s">
        <v>47</v>
      </c>
      <c r="F596" t="s">
        <v>153</v>
      </c>
      <c r="G596">
        <v>-13900</v>
      </c>
      <c r="H596" t="s">
        <v>147</v>
      </c>
      <c r="I596" t="s">
        <v>154</v>
      </c>
    </row>
    <row r="597" spans="1:9">
      <c r="A597" s="50">
        <v>45794</v>
      </c>
      <c r="B597" s="51">
        <v>0.6546990740740741</v>
      </c>
      <c r="C597" t="s">
        <v>151</v>
      </c>
      <c r="D597" t="s">
        <v>151</v>
      </c>
      <c r="E597" t="s">
        <v>47</v>
      </c>
      <c r="F597" t="s">
        <v>395</v>
      </c>
      <c r="G597">
        <v>100000</v>
      </c>
      <c r="H597" t="s">
        <v>147</v>
      </c>
      <c r="I597" t="s">
        <v>162</v>
      </c>
    </row>
    <row r="598" spans="1:9">
      <c r="A598" s="50">
        <v>45794</v>
      </c>
      <c r="B598" s="51">
        <v>0.6525578703703704</v>
      </c>
      <c r="C598" t="s">
        <v>151</v>
      </c>
      <c r="D598" t="s">
        <v>151</v>
      </c>
      <c r="E598" t="s">
        <v>47</v>
      </c>
      <c r="F598" t="s">
        <v>396</v>
      </c>
      <c r="G598">
        <v>100000</v>
      </c>
      <c r="H598" t="s">
        <v>147</v>
      </c>
      <c r="I598" t="s">
        <v>162</v>
      </c>
    </row>
    <row r="599" spans="1:9">
      <c r="A599" s="50">
        <v>45794</v>
      </c>
      <c r="B599" s="51">
        <v>0.6419907407407407</v>
      </c>
      <c r="C599" t="s">
        <v>151</v>
      </c>
      <c r="D599" t="s">
        <v>151</v>
      </c>
      <c r="E599" t="s">
        <v>47</v>
      </c>
      <c r="F599" t="s">
        <v>397</v>
      </c>
      <c r="G599">
        <v>100000</v>
      </c>
      <c r="H599" t="s">
        <v>147</v>
      </c>
      <c r="I599" t="s">
        <v>162</v>
      </c>
    </row>
    <row r="600" spans="1:9">
      <c r="A600" s="50">
        <v>45794</v>
      </c>
      <c r="B600" s="51">
        <v>0.6269675925925926</v>
      </c>
      <c r="C600" t="s">
        <v>151</v>
      </c>
      <c r="D600" t="s">
        <v>151</v>
      </c>
      <c r="E600" t="s">
        <v>47</v>
      </c>
      <c r="F600" t="s">
        <v>398</v>
      </c>
      <c r="G600">
        <v>100000</v>
      </c>
      <c r="H600" t="s">
        <v>147</v>
      </c>
      <c r="I600" t="s">
        <v>162</v>
      </c>
    </row>
    <row r="601" spans="1:9">
      <c r="A601" s="50">
        <v>45794</v>
      </c>
      <c r="B601" s="51">
        <v>0.6211921296296297</v>
      </c>
      <c r="C601" t="s">
        <v>151</v>
      </c>
      <c r="D601" t="s">
        <v>151</v>
      </c>
      <c r="E601" t="s">
        <v>47</v>
      </c>
      <c r="F601" t="s">
        <v>399</v>
      </c>
      <c r="G601">
        <v>50000</v>
      </c>
      <c r="H601" t="s">
        <v>147</v>
      </c>
      <c r="I601" t="s">
        <v>162</v>
      </c>
    </row>
    <row r="602" spans="1:9">
      <c r="A602" s="50">
        <v>45794</v>
      </c>
      <c r="B602" s="51">
        <v>0.575</v>
      </c>
      <c r="C602" t="s">
        <v>151</v>
      </c>
      <c r="D602" t="s">
        <v>151</v>
      </c>
      <c r="E602" t="s">
        <v>47</v>
      </c>
      <c r="F602" t="s">
        <v>400</v>
      </c>
      <c r="G602">
        <v>-250000</v>
      </c>
      <c r="H602" t="s">
        <v>147</v>
      </c>
      <c r="I602" t="s">
        <v>57</v>
      </c>
    </row>
    <row r="603" spans="1:9">
      <c r="A603" s="50">
        <v>45794</v>
      </c>
      <c r="B603" s="51">
        <v>0.4531828703703704</v>
      </c>
      <c r="C603" t="s">
        <v>145</v>
      </c>
      <c r="D603" t="s">
        <v>42</v>
      </c>
      <c r="E603" t="s">
        <v>47</v>
      </c>
      <c r="F603" t="s">
        <v>223</v>
      </c>
      <c r="G603">
        <v>-7890</v>
      </c>
      <c r="H603" t="s">
        <v>147</v>
      </c>
      <c r="I603" t="s">
        <v>148</v>
      </c>
    </row>
    <row r="604" spans="1:9">
      <c r="A604" s="50">
        <v>45794</v>
      </c>
      <c r="B604" s="51">
        <v>0.3967824074074074</v>
      </c>
      <c r="C604" t="s">
        <v>151</v>
      </c>
      <c r="D604" t="s">
        <v>151</v>
      </c>
      <c r="E604" t="s">
        <v>47</v>
      </c>
      <c r="F604" t="s">
        <v>401</v>
      </c>
      <c r="G604">
        <v>100000</v>
      </c>
      <c r="H604" t="s">
        <v>147</v>
      </c>
      <c r="I604" t="s">
        <v>57</v>
      </c>
    </row>
    <row r="605" spans="1:9">
      <c r="A605" s="50">
        <v>45794</v>
      </c>
      <c r="B605" s="51">
        <v>0.3927546296296296</v>
      </c>
      <c r="C605" t="s">
        <v>151</v>
      </c>
      <c r="D605" t="s">
        <v>151</v>
      </c>
      <c r="E605" t="s">
        <v>47</v>
      </c>
      <c r="F605" t="s">
        <v>402</v>
      </c>
      <c r="G605">
        <v>50000</v>
      </c>
      <c r="H605" t="s">
        <v>147</v>
      </c>
      <c r="I605" t="s">
        <v>57</v>
      </c>
    </row>
    <row r="606" spans="1:9">
      <c r="A606" s="50">
        <v>45794</v>
      </c>
      <c r="B606" s="51">
        <v>0.3516898148148148</v>
      </c>
      <c r="C606" t="s">
        <v>145</v>
      </c>
      <c r="D606" t="s">
        <v>35</v>
      </c>
      <c r="E606" t="s">
        <v>47</v>
      </c>
      <c r="F606" t="s">
        <v>197</v>
      </c>
      <c r="G606">
        <v>-550000</v>
      </c>
      <c r="H606" t="s">
        <v>147</v>
      </c>
      <c r="I606" t="s">
        <v>162</v>
      </c>
    </row>
    <row r="607" spans="1:9">
      <c r="A607" s="50">
        <v>45794</v>
      </c>
      <c r="B607" s="51">
        <v>0.3516782407407407</v>
      </c>
      <c r="C607" t="s">
        <v>151</v>
      </c>
      <c r="D607" t="s">
        <v>160</v>
      </c>
      <c r="E607" t="s">
        <v>47</v>
      </c>
      <c r="F607" t="s">
        <v>163</v>
      </c>
      <c r="G607">
        <v>-430900</v>
      </c>
      <c r="H607" t="s">
        <v>147</v>
      </c>
      <c r="I607" t="s">
        <v>57</v>
      </c>
    </row>
    <row r="608" spans="1:9">
      <c r="A608" s="50">
        <v>45794</v>
      </c>
      <c r="B608" s="51">
        <v>0.3516782407407407</v>
      </c>
      <c r="C608" t="s">
        <v>151</v>
      </c>
      <c r="D608" t="s">
        <v>160</v>
      </c>
      <c r="E608" t="s">
        <v>47</v>
      </c>
      <c r="F608" t="s">
        <v>161</v>
      </c>
      <c r="G608">
        <v>430900</v>
      </c>
      <c r="H608" t="s">
        <v>147</v>
      </c>
      <c r="I608" t="s">
        <v>162</v>
      </c>
    </row>
    <row r="609" spans="1:9">
      <c r="A609" s="50">
        <v>45794</v>
      </c>
      <c r="B609" s="51">
        <v>0.3401851851851852</v>
      </c>
      <c r="C609" t="s">
        <v>151</v>
      </c>
      <c r="D609" t="s">
        <v>151</v>
      </c>
      <c r="E609" t="s">
        <v>47</v>
      </c>
      <c r="F609" t="s">
        <v>403</v>
      </c>
      <c r="G609">
        <v>100000</v>
      </c>
      <c r="H609" t="s">
        <v>147</v>
      </c>
      <c r="I609" t="s">
        <v>162</v>
      </c>
    </row>
    <row r="610" spans="1:9">
      <c r="A610" s="50">
        <v>45794</v>
      </c>
      <c r="B610" s="51">
        <v>0.1140972222222222</v>
      </c>
      <c r="C610" t="s">
        <v>151</v>
      </c>
      <c r="D610" t="s">
        <v>160</v>
      </c>
      <c r="E610" t="s">
        <v>47</v>
      </c>
      <c r="F610" t="s">
        <v>7</v>
      </c>
      <c r="G610">
        <v>200000</v>
      </c>
      <c r="H610" t="s">
        <v>147</v>
      </c>
      <c r="I610" t="s">
        <v>57</v>
      </c>
    </row>
    <row r="611" spans="1:9">
      <c r="A611" s="50">
        <v>45794</v>
      </c>
      <c r="B611" s="51">
        <v>0.1140972222222222</v>
      </c>
      <c r="C611" t="s">
        <v>151</v>
      </c>
      <c r="D611" t="s">
        <v>160</v>
      </c>
      <c r="E611" t="s">
        <v>47</v>
      </c>
      <c r="F611" t="s">
        <v>161</v>
      </c>
      <c r="G611">
        <v>-200000</v>
      </c>
      <c r="H611" t="s">
        <v>147</v>
      </c>
      <c r="I611" t="s">
        <v>162</v>
      </c>
    </row>
    <row r="612" spans="1:9">
      <c r="A612" s="50">
        <v>45793</v>
      </c>
      <c r="B612" s="51">
        <v>0.786712962962963</v>
      </c>
      <c r="C612" t="s">
        <v>151</v>
      </c>
      <c r="D612" t="s">
        <v>151</v>
      </c>
      <c r="E612" t="s">
        <v>47</v>
      </c>
      <c r="F612" t="s">
        <v>404</v>
      </c>
      <c r="G612">
        <v>100000</v>
      </c>
      <c r="H612" t="s">
        <v>147</v>
      </c>
      <c r="I612" t="s">
        <v>162</v>
      </c>
    </row>
    <row r="613" spans="1:9">
      <c r="A613" s="50">
        <v>45793</v>
      </c>
      <c r="B613" s="51">
        <v>0.7822569444444445</v>
      </c>
      <c r="C613" t="s">
        <v>145</v>
      </c>
      <c r="D613" t="s">
        <v>34</v>
      </c>
      <c r="E613" t="s">
        <v>47</v>
      </c>
      <c r="F613" t="s">
        <v>146</v>
      </c>
      <c r="G613">
        <v>-1700</v>
      </c>
      <c r="H613" t="s">
        <v>147</v>
      </c>
      <c r="I613" t="s">
        <v>148</v>
      </c>
    </row>
    <row r="614" spans="1:9">
      <c r="A614" s="50">
        <v>45793</v>
      </c>
      <c r="B614" s="51">
        <v>0.7680671296296296</v>
      </c>
      <c r="C614" t="s">
        <v>151</v>
      </c>
      <c r="D614" t="s">
        <v>151</v>
      </c>
      <c r="E614" t="s">
        <v>47</v>
      </c>
      <c r="F614" t="s">
        <v>405</v>
      </c>
      <c r="G614">
        <v>50000</v>
      </c>
      <c r="H614" t="s">
        <v>147</v>
      </c>
      <c r="I614" t="s">
        <v>162</v>
      </c>
    </row>
    <row r="615" spans="1:9">
      <c r="A615" s="50">
        <v>45793</v>
      </c>
      <c r="B615" s="51">
        <v>0.7363657407407408</v>
      </c>
      <c r="C615" t="s">
        <v>145</v>
      </c>
      <c r="D615" t="s">
        <v>34</v>
      </c>
      <c r="E615" t="s">
        <v>47</v>
      </c>
      <c r="F615" t="s">
        <v>244</v>
      </c>
      <c r="G615">
        <v>-1200</v>
      </c>
      <c r="H615" t="s">
        <v>147</v>
      </c>
      <c r="I615" t="s">
        <v>148</v>
      </c>
    </row>
    <row r="616" spans="1:9">
      <c r="A616" s="50">
        <v>45793</v>
      </c>
      <c r="B616" s="51">
        <v>0.6953125</v>
      </c>
      <c r="C616" t="s">
        <v>145</v>
      </c>
      <c r="D616" t="s">
        <v>40</v>
      </c>
      <c r="E616" t="s">
        <v>47</v>
      </c>
      <c r="F616" t="s">
        <v>406</v>
      </c>
      <c r="G616">
        <v>-35000</v>
      </c>
      <c r="H616" t="s">
        <v>147</v>
      </c>
      <c r="I616" t="s">
        <v>165</v>
      </c>
    </row>
    <row r="617" spans="1:9">
      <c r="A617" s="50">
        <v>45793</v>
      </c>
      <c r="B617" s="51">
        <v>0.6662037037037037</v>
      </c>
      <c r="C617" t="s">
        <v>145</v>
      </c>
      <c r="D617" t="s">
        <v>44</v>
      </c>
      <c r="E617" t="s">
        <v>47</v>
      </c>
      <c r="F617" t="s">
        <v>329</v>
      </c>
      <c r="G617">
        <v>-1500</v>
      </c>
      <c r="H617" t="s">
        <v>147</v>
      </c>
      <c r="I617" t="s">
        <v>165</v>
      </c>
    </row>
    <row r="618" spans="1:9">
      <c r="A618" s="50">
        <v>45793</v>
      </c>
      <c r="B618" s="51">
        <v>0.6302199074074074</v>
      </c>
      <c r="C618" t="s">
        <v>151</v>
      </c>
      <c r="D618" t="s">
        <v>151</v>
      </c>
      <c r="E618" t="s">
        <v>47</v>
      </c>
      <c r="F618" t="s">
        <v>407</v>
      </c>
      <c r="G618">
        <v>50000</v>
      </c>
      <c r="H618" t="s">
        <v>147</v>
      </c>
      <c r="I618" t="s">
        <v>162</v>
      </c>
    </row>
    <row r="619" spans="1:9">
      <c r="A619" s="50">
        <v>45793</v>
      </c>
      <c r="B619" s="51">
        <v>0.5625231481481482</v>
      </c>
      <c r="C619" t="s">
        <v>145</v>
      </c>
      <c r="D619" t="s">
        <v>42</v>
      </c>
      <c r="E619" t="s">
        <v>47</v>
      </c>
      <c r="F619" t="s">
        <v>224</v>
      </c>
      <c r="G619">
        <v>-14900</v>
      </c>
      <c r="H619" t="s">
        <v>147</v>
      </c>
      <c r="I619" t="s">
        <v>154</v>
      </c>
    </row>
    <row r="620" spans="1:9">
      <c r="A620" s="50">
        <v>45793</v>
      </c>
      <c r="B620" s="51">
        <v>0.5104166666666666</v>
      </c>
      <c r="C620" t="s">
        <v>145</v>
      </c>
      <c r="D620" t="s">
        <v>34</v>
      </c>
      <c r="E620" t="s">
        <v>47</v>
      </c>
      <c r="F620" t="s">
        <v>408</v>
      </c>
      <c r="G620">
        <v>34000</v>
      </c>
      <c r="H620" t="s">
        <v>147</v>
      </c>
      <c r="I620" t="s">
        <v>154</v>
      </c>
    </row>
    <row r="621" spans="1:9">
      <c r="A621" s="50">
        <v>45793</v>
      </c>
      <c r="B621" s="51">
        <v>0.5099421296296296</v>
      </c>
      <c r="C621" t="s">
        <v>145</v>
      </c>
      <c r="D621" t="s">
        <v>34</v>
      </c>
      <c r="E621" t="s">
        <v>47</v>
      </c>
      <c r="F621" t="s">
        <v>408</v>
      </c>
      <c r="G621">
        <v>-34000</v>
      </c>
      <c r="H621" t="s">
        <v>147</v>
      </c>
      <c r="I621" t="s">
        <v>154</v>
      </c>
    </row>
    <row r="622" spans="1:9">
      <c r="A622" s="50">
        <v>45793</v>
      </c>
      <c r="B622" s="51">
        <v>0.4315277777777778</v>
      </c>
      <c r="C622" t="s">
        <v>151</v>
      </c>
      <c r="D622" t="s">
        <v>160</v>
      </c>
      <c r="E622" t="s">
        <v>47</v>
      </c>
      <c r="F622" t="s">
        <v>7</v>
      </c>
      <c r="G622">
        <v>500000</v>
      </c>
      <c r="H622" t="s">
        <v>147</v>
      </c>
      <c r="I622" t="s">
        <v>57</v>
      </c>
    </row>
    <row r="623" spans="1:9">
      <c r="A623" s="50">
        <v>45793</v>
      </c>
      <c r="B623" s="51">
        <v>0.4315277777777778</v>
      </c>
      <c r="C623" t="s">
        <v>151</v>
      </c>
      <c r="D623" t="s">
        <v>160</v>
      </c>
      <c r="E623" t="s">
        <v>47</v>
      </c>
      <c r="F623" t="s">
        <v>161</v>
      </c>
      <c r="G623">
        <v>-500000</v>
      </c>
      <c r="H623" t="s">
        <v>147</v>
      </c>
      <c r="I623" t="s">
        <v>162</v>
      </c>
    </row>
    <row r="624" spans="1:9">
      <c r="A624" s="50">
        <v>45793</v>
      </c>
      <c r="B624" s="51">
        <v>0.4047106481481482</v>
      </c>
      <c r="C624" t="s">
        <v>151</v>
      </c>
      <c r="D624" t="s">
        <v>151</v>
      </c>
      <c r="E624" t="s">
        <v>47</v>
      </c>
      <c r="F624" t="s">
        <v>409</v>
      </c>
      <c r="G624">
        <v>500000</v>
      </c>
      <c r="H624" t="s">
        <v>147</v>
      </c>
      <c r="I624" t="s">
        <v>162</v>
      </c>
    </row>
    <row r="625" spans="1:9">
      <c r="A625" s="50">
        <v>45793</v>
      </c>
      <c r="B625" s="51">
        <v>0.289849537037037</v>
      </c>
      <c r="C625" t="s">
        <v>145</v>
      </c>
      <c r="D625" t="s">
        <v>34</v>
      </c>
      <c r="E625" t="s">
        <v>47</v>
      </c>
      <c r="F625" t="s">
        <v>146</v>
      </c>
      <c r="G625">
        <v>-1700</v>
      </c>
      <c r="H625" t="s">
        <v>147</v>
      </c>
      <c r="I625" t="s">
        <v>148</v>
      </c>
    </row>
    <row r="626" spans="1:9">
      <c r="A626" s="50">
        <v>45793</v>
      </c>
      <c r="B626" s="51">
        <v>0.2385185185185185</v>
      </c>
      <c r="C626" t="s">
        <v>151</v>
      </c>
      <c r="D626" t="s">
        <v>151</v>
      </c>
      <c r="E626" t="s">
        <v>47</v>
      </c>
      <c r="F626" t="s">
        <v>410</v>
      </c>
      <c r="G626">
        <v>300000</v>
      </c>
      <c r="H626" t="s">
        <v>147</v>
      </c>
      <c r="I626" t="s">
        <v>57</v>
      </c>
    </row>
    <row r="627" spans="1:9">
      <c r="A627" s="50">
        <v>45792</v>
      </c>
      <c r="B627" s="51">
        <v>0.8768981481481481</v>
      </c>
      <c r="C627" t="s">
        <v>145</v>
      </c>
      <c r="D627" t="s">
        <v>34</v>
      </c>
      <c r="E627" t="s">
        <v>47</v>
      </c>
      <c r="F627" t="s">
        <v>408</v>
      </c>
      <c r="G627">
        <v>-34000</v>
      </c>
      <c r="H627" t="s">
        <v>147</v>
      </c>
      <c r="I627" t="s">
        <v>154</v>
      </c>
    </row>
    <row r="628" spans="1:9">
      <c r="A628" s="50">
        <v>45792</v>
      </c>
      <c r="B628" s="51">
        <v>0.8768981481481481</v>
      </c>
      <c r="C628" t="s">
        <v>151</v>
      </c>
      <c r="D628" t="s">
        <v>160</v>
      </c>
      <c r="E628" t="s">
        <v>47</v>
      </c>
      <c r="F628" t="s">
        <v>163</v>
      </c>
      <c r="G628">
        <v>-25990</v>
      </c>
      <c r="H628" t="s">
        <v>147</v>
      </c>
      <c r="I628" t="s">
        <v>57</v>
      </c>
    </row>
    <row r="629" spans="1:9">
      <c r="A629" s="50">
        <v>45792</v>
      </c>
      <c r="B629" s="51">
        <v>0.8768981481481481</v>
      </c>
      <c r="C629" t="s">
        <v>151</v>
      </c>
      <c r="D629" t="s">
        <v>160</v>
      </c>
      <c r="E629" t="s">
        <v>47</v>
      </c>
      <c r="F629" t="s">
        <v>161</v>
      </c>
      <c r="G629">
        <v>25990</v>
      </c>
      <c r="H629" t="s">
        <v>147</v>
      </c>
      <c r="I629" t="s">
        <v>162</v>
      </c>
    </row>
    <row r="630" spans="1:9">
      <c r="A630" s="50">
        <v>45792</v>
      </c>
      <c r="B630" s="51">
        <v>0.8587731481481482</v>
      </c>
      <c r="C630" t="s">
        <v>145</v>
      </c>
      <c r="D630" t="s">
        <v>34</v>
      </c>
      <c r="E630" t="s">
        <v>47</v>
      </c>
      <c r="F630" t="s">
        <v>146</v>
      </c>
      <c r="G630">
        <v>-200</v>
      </c>
      <c r="H630" t="s">
        <v>147</v>
      </c>
      <c r="I630" t="s">
        <v>148</v>
      </c>
    </row>
    <row r="631" spans="1:9">
      <c r="A631" s="50">
        <v>45792</v>
      </c>
      <c r="B631" s="51">
        <v>0.8450694444444444</v>
      </c>
      <c r="C631" t="s">
        <v>145</v>
      </c>
      <c r="D631" t="s">
        <v>34</v>
      </c>
      <c r="E631" t="s">
        <v>47</v>
      </c>
      <c r="F631" t="s">
        <v>244</v>
      </c>
      <c r="G631">
        <v>-1500</v>
      </c>
      <c r="H631" t="s">
        <v>147</v>
      </c>
      <c r="I631" t="s">
        <v>148</v>
      </c>
    </row>
    <row r="632" spans="1:9">
      <c r="A632" s="50">
        <v>45792</v>
      </c>
      <c r="B632" s="51">
        <v>0.8271527777777777</v>
      </c>
      <c r="C632" t="s">
        <v>145</v>
      </c>
      <c r="D632" t="s">
        <v>38</v>
      </c>
      <c r="E632" t="s">
        <v>47</v>
      </c>
      <c r="F632" t="s">
        <v>155</v>
      </c>
      <c r="G632">
        <v>-4280</v>
      </c>
      <c r="H632" t="s">
        <v>147</v>
      </c>
      <c r="I632" t="s">
        <v>148</v>
      </c>
    </row>
    <row r="633" spans="1:9">
      <c r="A633" s="50">
        <v>45792</v>
      </c>
      <c r="B633" s="51">
        <v>0.7804513888888889</v>
      </c>
      <c r="C633" t="s">
        <v>151</v>
      </c>
      <c r="D633" t="s">
        <v>151</v>
      </c>
      <c r="E633" t="s">
        <v>47</v>
      </c>
      <c r="F633" t="s">
        <v>411</v>
      </c>
      <c r="G633">
        <v>-19000</v>
      </c>
      <c r="H633" t="s">
        <v>147</v>
      </c>
      <c r="I633" t="s">
        <v>57</v>
      </c>
    </row>
    <row r="634" spans="1:9">
      <c r="A634" s="50">
        <v>45792</v>
      </c>
      <c r="B634" s="51">
        <v>0.7261805555555556</v>
      </c>
      <c r="C634" t="s">
        <v>145</v>
      </c>
      <c r="D634" t="s">
        <v>34</v>
      </c>
      <c r="E634" t="s">
        <v>47</v>
      </c>
      <c r="F634" t="s">
        <v>244</v>
      </c>
      <c r="G634">
        <v>-300</v>
      </c>
      <c r="H634" t="s">
        <v>147</v>
      </c>
      <c r="I634" t="s">
        <v>148</v>
      </c>
    </row>
    <row r="635" spans="1:9">
      <c r="A635" s="50">
        <v>45792</v>
      </c>
      <c r="B635" s="51">
        <v>0.7156944444444444</v>
      </c>
      <c r="C635" t="s">
        <v>145</v>
      </c>
      <c r="D635" t="s">
        <v>34</v>
      </c>
      <c r="E635" t="s">
        <v>47</v>
      </c>
      <c r="F635" t="s">
        <v>244</v>
      </c>
      <c r="G635">
        <v>-1200</v>
      </c>
      <c r="H635" t="s">
        <v>147</v>
      </c>
      <c r="I635" t="s">
        <v>148</v>
      </c>
    </row>
    <row r="636" spans="1:9">
      <c r="A636" s="50">
        <v>45792</v>
      </c>
      <c r="B636" s="51">
        <v>0.5904976851851852</v>
      </c>
      <c r="C636" t="s">
        <v>151</v>
      </c>
      <c r="D636" t="s">
        <v>160</v>
      </c>
      <c r="E636" t="s">
        <v>47</v>
      </c>
      <c r="F636" t="s">
        <v>7</v>
      </c>
      <c r="G636">
        <v>200000</v>
      </c>
      <c r="H636" t="s">
        <v>147</v>
      </c>
      <c r="I636" t="s">
        <v>57</v>
      </c>
    </row>
    <row r="637" spans="1:9">
      <c r="A637" s="50">
        <v>45792</v>
      </c>
      <c r="B637" s="51">
        <v>0.5904976851851852</v>
      </c>
      <c r="C637" t="s">
        <v>151</v>
      </c>
      <c r="D637" t="s">
        <v>160</v>
      </c>
      <c r="E637" t="s">
        <v>47</v>
      </c>
      <c r="F637" t="s">
        <v>7</v>
      </c>
      <c r="G637">
        <v>-200000</v>
      </c>
      <c r="H637" t="s">
        <v>147</v>
      </c>
      <c r="I637" t="s">
        <v>61</v>
      </c>
    </row>
    <row r="638" spans="1:9">
      <c r="A638" s="50">
        <v>45792</v>
      </c>
      <c r="B638" s="51">
        <v>0.5743634259259259</v>
      </c>
      <c r="C638" t="s">
        <v>145</v>
      </c>
      <c r="D638" t="s">
        <v>42</v>
      </c>
      <c r="E638" t="s">
        <v>47</v>
      </c>
      <c r="F638" t="s">
        <v>158</v>
      </c>
      <c r="G638">
        <v>-20000</v>
      </c>
      <c r="H638" t="s">
        <v>147</v>
      </c>
      <c r="I638" t="s">
        <v>57</v>
      </c>
    </row>
    <row r="639" spans="1:9">
      <c r="A639" s="50">
        <v>45792</v>
      </c>
      <c r="B639" s="51">
        <v>0.2980787037037037</v>
      </c>
      <c r="C639" t="s">
        <v>151</v>
      </c>
      <c r="D639" t="s">
        <v>151</v>
      </c>
      <c r="E639" t="s">
        <v>47</v>
      </c>
      <c r="F639" t="s">
        <v>411</v>
      </c>
      <c r="G639">
        <v>-10000</v>
      </c>
      <c r="H639" t="s">
        <v>147</v>
      </c>
      <c r="I639" t="s">
        <v>57</v>
      </c>
    </row>
    <row r="640" spans="1:9">
      <c r="A640" s="50">
        <v>45792</v>
      </c>
      <c r="B640" s="51">
        <v>0.2876851851851852</v>
      </c>
      <c r="C640" t="s">
        <v>145</v>
      </c>
      <c r="D640" t="s">
        <v>34</v>
      </c>
      <c r="E640" t="s">
        <v>47</v>
      </c>
      <c r="F640" t="s">
        <v>146</v>
      </c>
      <c r="G640">
        <v>-1700</v>
      </c>
      <c r="H640" t="s">
        <v>147</v>
      </c>
      <c r="I640" t="s">
        <v>148</v>
      </c>
    </row>
    <row r="641" spans="1:9">
      <c r="A641" s="50">
        <v>45792</v>
      </c>
      <c r="B641" s="51">
        <v>0.04711805555555556</v>
      </c>
      <c r="C641" t="s">
        <v>145</v>
      </c>
      <c r="D641" t="s">
        <v>42</v>
      </c>
      <c r="E641" t="s">
        <v>47</v>
      </c>
      <c r="F641" t="s">
        <v>225</v>
      </c>
      <c r="G641">
        <v>-1990</v>
      </c>
      <c r="H641" t="s">
        <v>147</v>
      </c>
      <c r="I641" t="s">
        <v>154</v>
      </c>
    </row>
    <row r="642" spans="1:9">
      <c r="A642" s="50">
        <v>45792</v>
      </c>
      <c r="B642" s="51">
        <v>0.04711805555555556</v>
      </c>
      <c r="C642" t="s">
        <v>151</v>
      </c>
      <c r="D642" t="s">
        <v>160</v>
      </c>
      <c r="E642" t="s">
        <v>47</v>
      </c>
      <c r="F642" t="s">
        <v>163</v>
      </c>
      <c r="G642">
        <v>-10000</v>
      </c>
      <c r="H642" t="s">
        <v>147</v>
      </c>
      <c r="I642" t="s">
        <v>57</v>
      </c>
    </row>
    <row r="643" spans="1:9">
      <c r="A643" s="50">
        <v>45792</v>
      </c>
      <c r="B643" s="51">
        <v>0.04711805555555556</v>
      </c>
      <c r="C643" t="s">
        <v>151</v>
      </c>
      <c r="D643" t="s">
        <v>160</v>
      </c>
      <c r="E643" t="s">
        <v>47</v>
      </c>
      <c r="F643" t="s">
        <v>161</v>
      </c>
      <c r="G643">
        <v>10000</v>
      </c>
      <c r="H643" t="s">
        <v>147</v>
      </c>
      <c r="I643" t="s">
        <v>162</v>
      </c>
    </row>
    <row r="644" spans="1:9">
      <c r="A644" s="50">
        <v>45791</v>
      </c>
      <c r="B644" s="51">
        <v>0.840462962962963</v>
      </c>
      <c r="C644" t="s">
        <v>151</v>
      </c>
      <c r="D644" t="s">
        <v>151</v>
      </c>
      <c r="E644" t="s">
        <v>47</v>
      </c>
      <c r="F644" t="s">
        <v>412</v>
      </c>
      <c r="G644">
        <v>-7000</v>
      </c>
      <c r="H644" t="s">
        <v>147</v>
      </c>
      <c r="I644" t="s">
        <v>57</v>
      </c>
    </row>
    <row r="645" spans="1:9">
      <c r="A645" s="50">
        <v>45791</v>
      </c>
      <c r="B645" s="51">
        <v>0.840462962962963</v>
      </c>
      <c r="C645" t="s">
        <v>151</v>
      </c>
      <c r="D645" t="s">
        <v>64</v>
      </c>
      <c r="E645" t="s">
        <v>47</v>
      </c>
      <c r="F645" t="s">
        <v>413</v>
      </c>
      <c r="G645">
        <v>35</v>
      </c>
      <c r="H645" t="s">
        <v>147</v>
      </c>
      <c r="I645" t="s">
        <v>57</v>
      </c>
    </row>
    <row r="646" spans="1:9">
      <c r="A646" s="50">
        <v>45791</v>
      </c>
      <c r="B646" s="51">
        <v>0.7740277777777778</v>
      </c>
      <c r="C646" t="s">
        <v>145</v>
      </c>
      <c r="D646" t="s">
        <v>34</v>
      </c>
      <c r="E646" t="s">
        <v>47</v>
      </c>
      <c r="F646" t="s">
        <v>146</v>
      </c>
      <c r="G646">
        <v>-300</v>
      </c>
      <c r="H646" t="s">
        <v>147</v>
      </c>
      <c r="I646" t="s">
        <v>148</v>
      </c>
    </row>
    <row r="647" spans="1:9">
      <c r="A647" s="50">
        <v>45791</v>
      </c>
      <c r="B647" s="51">
        <v>0.7406481481481482</v>
      </c>
      <c r="C647" t="s">
        <v>145</v>
      </c>
      <c r="D647" t="s">
        <v>34</v>
      </c>
      <c r="E647" t="s">
        <v>47</v>
      </c>
      <c r="F647" t="s">
        <v>244</v>
      </c>
      <c r="G647">
        <v>-300</v>
      </c>
      <c r="H647" t="s">
        <v>147</v>
      </c>
      <c r="I647" t="s">
        <v>148</v>
      </c>
    </row>
    <row r="648" spans="1:9">
      <c r="A648" s="50">
        <v>45791</v>
      </c>
      <c r="B648" s="51">
        <v>0.7386805555555556</v>
      </c>
      <c r="C648" t="s">
        <v>145</v>
      </c>
      <c r="D648" t="s">
        <v>37</v>
      </c>
      <c r="E648" t="s">
        <v>47</v>
      </c>
      <c r="F648" t="s">
        <v>414</v>
      </c>
      <c r="G648">
        <v>-110000</v>
      </c>
      <c r="H648" t="s">
        <v>147</v>
      </c>
      <c r="I648" t="s">
        <v>148</v>
      </c>
    </row>
    <row r="649" spans="1:9">
      <c r="A649" s="50">
        <v>45791</v>
      </c>
      <c r="B649" s="51">
        <v>0.7340277777777777</v>
      </c>
      <c r="C649" t="s">
        <v>145</v>
      </c>
      <c r="D649" t="s">
        <v>34</v>
      </c>
      <c r="E649" t="s">
        <v>47</v>
      </c>
      <c r="F649" t="s">
        <v>244</v>
      </c>
      <c r="G649">
        <v>-1200</v>
      </c>
      <c r="H649" t="s">
        <v>147</v>
      </c>
      <c r="I649" t="s">
        <v>148</v>
      </c>
    </row>
    <row r="650" spans="1:9">
      <c r="A650" s="50">
        <v>45791</v>
      </c>
      <c r="B650" s="51">
        <v>0.4489814814814815</v>
      </c>
      <c r="C650" t="s">
        <v>145</v>
      </c>
      <c r="D650" t="s">
        <v>42</v>
      </c>
      <c r="E650" t="s">
        <v>47</v>
      </c>
      <c r="F650" t="s">
        <v>158</v>
      </c>
      <c r="G650">
        <v>-30000</v>
      </c>
      <c r="H650" t="s">
        <v>147</v>
      </c>
      <c r="I650" t="s">
        <v>57</v>
      </c>
    </row>
    <row r="651" spans="1:9">
      <c r="A651" s="50">
        <v>45791</v>
      </c>
      <c r="B651" s="51">
        <v>0.2890393518518519</v>
      </c>
      <c r="C651" t="s">
        <v>145</v>
      </c>
      <c r="D651" t="s">
        <v>34</v>
      </c>
      <c r="E651" t="s">
        <v>47</v>
      </c>
      <c r="F651" t="s">
        <v>146</v>
      </c>
      <c r="G651">
        <v>-1700</v>
      </c>
      <c r="H651" t="s">
        <v>147</v>
      </c>
      <c r="I651" t="s">
        <v>148</v>
      </c>
    </row>
    <row r="652" spans="1:9">
      <c r="A652" s="50">
        <v>45790</v>
      </c>
      <c r="B652" s="51">
        <v>0.8940393518518519</v>
      </c>
      <c r="C652" t="s">
        <v>151</v>
      </c>
      <c r="D652" t="s">
        <v>160</v>
      </c>
      <c r="E652" t="s">
        <v>47</v>
      </c>
      <c r="F652" t="s">
        <v>7</v>
      </c>
      <c r="G652">
        <v>-200000</v>
      </c>
      <c r="H652" t="s">
        <v>147</v>
      </c>
      <c r="I652" t="s">
        <v>61</v>
      </c>
    </row>
    <row r="653" spans="1:9">
      <c r="A653" s="50">
        <v>45790</v>
      </c>
      <c r="B653" s="51">
        <v>0.8940393518518519</v>
      </c>
      <c r="C653" t="s">
        <v>151</v>
      </c>
      <c r="D653" t="s">
        <v>160</v>
      </c>
      <c r="E653" t="s">
        <v>47</v>
      </c>
      <c r="F653" t="s">
        <v>7</v>
      </c>
      <c r="G653">
        <v>200000</v>
      </c>
      <c r="H653" t="s">
        <v>147</v>
      </c>
      <c r="I653" t="s">
        <v>57</v>
      </c>
    </row>
    <row r="654" spans="1:9">
      <c r="A654" s="50">
        <v>45790</v>
      </c>
      <c r="B654" s="51">
        <v>0.7363657407407408</v>
      </c>
      <c r="C654" t="s">
        <v>145</v>
      </c>
      <c r="D654" t="s">
        <v>34</v>
      </c>
      <c r="E654" t="s">
        <v>47</v>
      </c>
      <c r="F654" t="s">
        <v>146</v>
      </c>
      <c r="G654">
        <v>-1700</v>
      </c>
      <c r="H654" t="s">
        <v>147</v>
      </c>
      <c r="I654" t="s">
        <v>148</v>
      </c>
    </row>
    <row r="655" spans="1:9">
      <c r="A655" s="50">
        <v>45790</v>
      </c>
      <c r="B655" s="51">
        <v>0.7355555555555555</v>
      </c>
      <c r="C655" t="s">
        <v>145</v>
      </c>
      <c r="D655" t="s">
        <v>42</v>
      </c>
      <c r="E655" t="s">
        <v>47</v>
      </c>
      <c r="F655" t="s">
        <v>318</v>
      </c>
      <c r="G655">
        <v>-99900</v>
      </c>
      <c r="H655" t="s">
        <v>147</v>
      </c>
      <c r="I655" t="s">
        <v>148</v>
      </c>
    </row>
    <row r="656" spans="1:9">
      <c r="A656" s="50">
        <v>45790</v>
      </c>
      <c r="B656" s="51">
        <v>0.6830902777777778</v>
      </c>
      <c r="C656" t="s">
        <v>151</v>
      </c>
      <c r="D656" t="s">
        <v>160</v>
      </c>
      <c r="E656" t="s">
        <v>47</v>
      </c>
      <c r="F656" t="s">
        <v>7</v>
      </c>
      <c r="G656">
        <v>50000</v>
      </c>
      <c r="H656" t="s">
        <v>147</v>
      </c>
      <c r="I656" t="s">
        <v>57</v>
      </c>
    </row>
    <row r="657" spans="1:9">
      <c r="A657" s="50">
        <v>45790</v>
      </c>
      <c r="B657" s="51">
        <v>0.6830902777777778</v>
      </c>
      <c r="C657" t="s">
        <v>151</v>
      </c>
      <c r="D657" t="s">
        <v>160</v>
      </c>
      <c r="E657" t="s">
        <v>47</v>
      </c>
      <c r="F657" t="s">
        <v>161</v>
      </c>
      <c r="G657">
        <v>-50000</v>
      </c>
      <c r="H657" t="s">
        <v>147</v>
      </c>
      <c r="I657" t="s">
        <v>162</v>
      </c>
    </row>
    <row r="658" spans="1:9">
      <c r="A658" s="50">
        <v>45790</v>
      </c>
      <c r="B658" s="51">
        <v>0.3828819444444445</v>
      </c>
      <c r="C658" t="s">
        <v>151</v>
      </c>
      <c r="D658" t="s">
        <v>151</v>
      </c>
      <c r="E658" t="s">
        <v>47</v>
      </c>
      <c r="F658" t="s">
        <v>415</v>
      </c>
      <c r="G658">
        <v>50000</v>
      </c>
      <c r="H658" t="s">
        <v>147</v>
      </c>
      <c r="I658" t="s">
        <v>162</v>
      </c>
    </row>
    <row r="659" spans="1:9">
      <c r="A659" s="50">
        <v>45790</v>
      </c>
      <c r="B659" s="51">
        <v>0.3241898148148148</v>
      </c>
      <c r="C659" t="s">
        <v>145</v>
      </c>
      <c r="D659" t="s">
        <v>38</v>
      </c>
      <c r="E659" t="s">
        <v>47</v>
      </c>
      <c r="F659" t="s">
        <v>268</v>
      </c>
      <c r="G659">
        <v>-5800</v>
      </c>
      <c r="H659" t="s">
        <v>147</v>
      </c>
      <c r="I659" t="s">
        <v>148</v>
      </c>
    </row>
    <row r="660" spans="1:9">
      <c r="A660" s="50">
        <v>45790</v>
      </c>
      <c r="B660" s="51">
        <v>0.2825347222222222</v>
      </c>
      <c r="C660" t="s">
        <v>145</v>
      </c>
      <c r="D660" t="s">
        <v>34</v>
      </c>
      <c r="E660" t="s">
        <v>47</v>
      </c>
      <c r="F660" t="s">
        <v>146</v>
      </c>
      <c r="G660">
        <v>-1700</v>
      </c>
      <c r="H660" t="s">
        <v>147</v>
      </c>
      <c r="I660" t="s">
        <v>148</v>
      </c>
    </row>
    <row r="661" spans="1:9">
      <c r="A661" s="50">
        <v>45790</v>
      </c>
      <c r="B661" s="51">
        <v>0.2446759259259259</v>
      </c>
      <c r="C661" t="s">
        <v>151</v>
      </c>
      <c r="D661" t="s">
        <v>151</v>
      </c>
      <c r="E661" t="s">
        <v>47</v>
      </c>
      <c r="F661" t="s">
        <v>163</v>
      </c>
      <c r="G661">
        <v>-50000</v>
      </c>
      <c r="H661" t="s">
        <v>147</v>
      </c>
      <c r="I661" t="s">
        <v>57</v>
      </c>
    </row>
    <row r="662" spans="1:9">
      <c r="A662" s="50">
        <v>45789</v>
      </c>
      <c r="B662" s="51">
        <v>0.7842361111111111</v>
      </c>
      <c r="C662" t="s">
        <v>151</v>
      </c>
      <c r="D662" t="s">
        <v>151</v>
      </c>
      <c r="E662" t="s">
        <v>47</v>
      </c>
      <c r="F662" t="s">
        <v>163</v>
      </c>
      <c r="G662">
        <v>-400000</v>
      </c>
      <c r="H662" t="s">
        <v>147</v>
      </c>
      <c r="I662" t="s">
        <v>57</v>
      </c>
    </row>
    <row r="663" spans="1:9">
      <c r="A663" s="50">
        <v>45789</v>
      </c>
      <c r="B663" s="51">
        <v>0.6535416666666667</v>
      </c>
      <c r="C663" t="s">
        <v>145</v>
      </c>
      <c r="D663" t="s">
        <v>35</v>
      </c>
      <c r="E663" t="s">
        <v>47</v>
      </c>
      <c r="F663" t="s">
        <v>197</v>
      </c>
      <c r="G663">
        <v>-35000</v>
      </c>
      <c r="H663" t="s">
        <v>147</v>
      </c>
      <c r="I663" t="s">
        <v>162</v>
      </c>
    </row>
    <row r="664" spans="1:9">
      <c r="A664" s="50">
        <v>45789</v>
      </c>
      <c r="B664" s="51">
        <v>0.6535300925925925</v>
      </c>
      <c r="C664" t="s">
        <v>151</v>
      </c>
      <c r="D664" t="s">
        <v>160</v>
      </c>
      <c r="E664" t="s">
        <v>47</v>
      </c>
      <c r="F664" t="s">
        <v>163</v>
      </c>
      <c r="G664">
        <v>-29998</v>
      </c>
      <c r="H664" t="s">
        <v>147</v>
      </c>
      <c r="I664" t="s">
        <v>57</v>
      </c>
    </row>
    <row r="665" spans="1:9">
      <c r="A665" s="50">
        <v>45789</v>
      </c>
      <c r="B665" s="51">
        <v>0.6535185185185185</v>
      </c>
      <c r="C665" t="s">
        <v>151</v>
      </c>
      <c r="D665" t="s">
        <v>160</v>
      </c>
      <c r="E665" t="s">
        <v>47</v>
      </c>
      <c r="F665" t="s">
        <v>161</v>
      </c>
      <c r="G665">
        <v>29998</v>
      </c>
      <c r="H665" t="s">
        <v>147</v>
      </c>
      <c r="I665" t="s">
        <v>162</v>
      </c>
    </row>
    <row r="666" spans="1:9">
      <c r="A666" s="50">
        <v>45789</v>
      </c>
      <c r="B666" s="51">
        <v>0.5125115740740741</v>
      </c>
      <c r="C666" t="s">
        <v>151</v>
      </c>
      <c r="D666" t="s">
        <v>160</v>
      </c>
      <c r="E666" t="s">
        <v>47</v>
      </c>
      <c r="F666" t="s">
        <v>163</v>
      </c>
      <c r="G666">
        <v>-10000</v>
      </c>
      <c r="H666" t="s">
        <v>147</v>
      </c>
      <c r="I666" t="s">
        <v>57</v>
      </c>
    </row>
    <row r="667" spans="1:9">
      <c r="A667" s="50">
        <v>45789</v>
      </c>
      <c r="B667" s="51">
        <v>0.5125</v>
      </c>
      <c r="C667" t="s">
        <v>151</v>
      </c>
      <c r="D667" t="s">
        <v>160</v>
      </c>
      <c r="E667" t="s">
        <v>47</v>
      </c>
      <c r="F667" t="s">
        <v>161</v>
      </c>
      <c r="G667">
        <v>10000</v>
      </c>
      <c r="H667" t="s">
        <v>147</v>
      </c>
      <c r="I667" t="s">
        <v>162</v>
      </c>
    </row>
    <row r="668" spans="1:9">
      <c r="A668" s="50">
        <v>45789</v>
      </c>
      <c r="B668" s="51">
        <v>0.4030439814814815</v>
      </c>
      <c r="C668" t="s">
        <v>151</v>
      </c>
      <c r="D668" t="s">
        <v>160</v>
      </c>
      <c r="E668" t="s">
        <v>47</v>
      </c>
      <c r="F668" t="s">
        <v>7</v>
      </c>
      <c r="G668">
        <v>1000000</v>
      </c>
      <c r="H668" t="s">
        <v>147</v>
      </c>
      <c r="I668" t="s">
        <v>61</v>
      </c>
    </row>
    <row r="669" spans="1:9">
      <c r="A669" s="50">
        <v>45789</v>
      </c>
      <c r="B669" s="51">
        <v>0.4030439814814815</v>
      </c>
      <c r="C669" t="s">
        <v>151</v>
      </c>
      <c r="D669" t="s">
        <v>160</v>
      </c>
      <c r="E669" t="s">
        <v>47</v>
      </c>
      <c r="F669" t="s">
        <v>7</v>
      </c>
      <c r="G669">
        <v>-1000000</v>
      </c>
      <c r="H669" t="s">
        <v>147</v>
      </c>
      <c r="I669" t="s">
        <v>57</v>
      </c>
    </row>
    <row r="670" spans="1:9">
      <c r="A670" s="50">
        <v>45789</v>
      </c>
      <c r="B670" s="51">
        <v>0.3916435185185185</v>
      </c>
      <c r="C670" t="s">
        <v>145</v>
      </c>
      <c r="D670" t="s">
        <v>42</v>
      </c>
      <c r="E670" t="s">
        <v>47</v>
      </c>
      <c r="F670" t="s">
        <v>229</v>
      </c>
      <c r="G670">
        <v>-400000</v>
      </c>
      <c r="H670" t="s">
        <v>147</v>
      </c>
      <c r="I670" t="s">
        <v>57</v>
      </c>
    </row>
    <row r="671" spans="1:9">
      <c r="A671" s="50">
        <v>45789</v>
      </c>
      <c r="B671" s="51">
        <v>0.3655902777777778</v>
      </c>
      <c r="C671" t="s">
        <v>149</v>
      </c>
      <c r="D671" t="s">
        <v>28</v>
      </c>
      <c r="E671" t="s">
        <v>47</v>
      </c>
      <c r="F671" t="s">
        <v>416</v>
      </c>
      <c r="G671">
        <v>1893930</v>
      </c>
      <c r="H671" t="s">
        <v>147</v>
      </c>
      <c r="I671" t="s">
        <v>57</v>
      </c>
    </row>
    <row r="672" spans="1:9">
      <c r="A672" s="50">
        <v>45789</v>
      </c>
      <c r="B672" s="51">
        <v>0.1302314814814815</v>
      </c>
      <c r="C672" t="s">
        <v>145</v>
      </c>
      <c r="D672" t="s">
        <v>35</v>
      </c>
      <c r="E672" t="s">
        <v>207</v>
      </c>
      <c r="F672" t="s">
        <v>234</v>
      </c>
      <c r="G672">
        <v>-146803</v>
      </c>
      <c r="H672" t="s">
        <v>147</v>
      </c>
      <c r="I672" t="s">
        <v>57</v>
      </c>
    </row>
    <row r="673" spans="1:9">
      <c r="A673" s="50">
        <v>45789</v>
      </c>
      <c r="B673" s="51">
        <v>0.1279861111111111</v>
      </c>
      <c r="C673" t="s">
        <v>151</v>
      </c>
      <c r="D673" t="s">
        <v>151</v>
      </c>
      <c r="E673" t="s">
        <v>47</v>
      </c>
      <c r="F673" t="s">
        <v>234</v>
      </c>
      <c r="G673">
        <v>-242095</v>
      </c>
      <c r="H673" t="s">
        <v>147</v>
      </c>
      <c r="I673" t="s">
        <v>61</v>
      </c>
    </row>
    <row r="674" spans="1:9">
      <c r="A674" s="50">
        <v>45788</v>
      </c>
      <c r="B674" s="51">
        <v>0.982199074074074</v>
      </c>
      <c r="C674" t="s">
        <v>151</v>
      </c>
      <c r="D674" t="s">
        <v>160</v>
      </c>
      <c r="E674" t="s">
        <v>47</v>
      </c>
      <c r="F674" t="s">
        <v>7</v>
      </c>
      <c r="G674">
        <v>-140000</v>
      </c>
      <c r="H674" t="s">
        <v>147</v>
      </c>
      <c r="I674" t="s">
        <v>57</v>
      </c>
    </row>
    <row r="675" spans="1:9">
      <c r="A675" s="50">
        <v>45788</v>
      </c>
      <c r="B675" s="51">
        <v>0.982199074074074</v>
      </c>
      <c r="C675" t="s">
        <v>151</v>
      </c>
      <c r="D675" t="s">
        <v>160</v>
      </c>
      <c r="E675" t="s">
        <v>47</v>
      </c>
      <c r="F675" t="s">
        <v>7</v>
      </c>
      <c r="G675">
        <v>140000</v>
      </c>
      <c r="H675" t="s">
        <v>147</v>
      </c>
      <c r="I675" t="s">
        <v>61</v>
      </c>
    </row>
    <row r="676" spans="1:9">
      <c r="A676" s="50">
        <v>45788</v>
      </c>
      <c r="B676" s="51">
        <v>0.9817708333333334</v>
      </c>
      <c r="C676" t="s">
        <v>151</v>
      </c>
      <c r="D676" t="s">
        <v>160</v>
      </c>
      <c r="E676" t="s">
        <v>47</v>
      </c>
      <c r="F676" t="s">
        <v>7</v>
      </c>
      <c r="G676">
        <v>-1000000</v>
      </c>
      <c r="H676" t="s">
        <v>147</v>
      </c>
      <c r="I676" t="s">
        <v>57</v>
      </c>
    </row>
    <row r="677" spans="1:9">
      <c r="A677" s="50">
        <v>45788</v>
      </c>
      <c r="B677" s="51">
        <v>0.9817708333333334</v>
      </c>
      <c r="C677" t="s">
        <v>151</v>
      </c>
      <c r="D677" t="s">
        <v>160</v>
      </c>
      <c r="E677" t="s">
        <v>47</v>
      </c>
      <c r="F677" t="s">
        <v>7</v>
      </c>
      <c r="G677">
        <v>1000000</v>
      </c>
      <c r="H677" t="s">
        <v>147</v>
      </c>
      <c r="I677" t="s">
        <v>61</v>
      </c>
    </row>
    <row r="678" spans="1:9">
      <c r="A678" s="50">
        <v>45788</v>
      </c>
      <c r="B678" s="51">
        <v>0.8306828703703704</v>
      </c>
      <c r="C678" t="s">
        <v>151</v>
      </c>
      <c r="D678" t="s">
        <v>160</v>
      </c>
      <c r="E678" t="s">
        <v>47</v>
      </c>
      <c r="F678" t="s">
        <v>7</v>
      </c>
      <c r="G678">
        <v>-1000000</v>
      </c>
      <c r="H678" t="s">
        <v>147</v>
      </c>
      <c r="I678" t="s">
        <v>61</v>
      </c>
    </row>
    <row r="679" spans="1:9">
      <c r="A679" s="50">
        <v>45788</v>
      </c>
      <c r="B679" s="51">
        <v>0.8306828703703704</v>
      </c>
      <c r="C679" t="s">
        <v>151</v>
      </c>
      <c r="D679" t="s">
        <v>160</v>
      </c>
      <c r="E679" t="s">
        <v>47</v>
      </c>
      <c r="F679" t="s">
        <v>7</v>
      </c>
      <c r="G679">
        <v>1000000</v>
      </c>
      <c r="H679" t="s">
        <v>147</v>
      </c>
      <c r="I679" t="s">
        <v>57</v>
      </c>
    </row>
    <row r="680" spans="1:9">
      <c r="A680" s="50">
        <v>45788</v>
      </c>
      <c r="B680" s="51">
        <v>0.6750462962962963</v>
      </c>
      <c r="C680" t="s">
        <v>145</v>
      </c>
      <c r="D680" t="s">
        <v>37</v>
      </c>
      <c r="E680" t="s">
        <v>47</v>
      </c>
      <c r="F680" t="s">
        <v>417</v>
      </c>
      <c r="G680">
        <v>-54230</v>
      </c>
      <c r="H680" t="s">
        <v>147</v>
      </c>
      <c r="I680" t="s">
        <v>154</v>
      </c>
    </row>
    <row r="681" spans="1:9">
      <c r="A681" s="50">
        <v>45788</v>
      </c>
      <c r="B681" s="51">
        <v>0.6750462962962963</v>
      </c>
      <c r="C681" t="s">
        <v>151</v>
      </c>
      <c r="D681" t="s">
        <v>160</v>
      </c>
      <c r="E681" t="s">
        <v>47</v>
      </c>
      <c r="F681" t="s">
        <v>163</v>
      </c>
      <c r="G681">
        <v>-49480</v>
      </c>
      <c r="H681" t="s">
        <v>147</v>
      </c>
      <c r="I681" t="s">
        <v>57</v>
      </c>
    </row>
    <row r="682" spans="1:9">
      <c r="A682" s="50">
        <v>45788</v>
      </c>
      <c r="B682" s="51">
        <v>0.6750462962962963</v>
      </c>
      <c r="C682" t="s">
        <v>151</v>
      </c>
      <c r="D682" t="s">
        <v>160</v>
      </c>
      <c r="E682" t="s">
        <v>47</v>
      </c>
      <c r="F682" t="s">
        <v>161</v>
      </c>
      <c r="G682">
        <v>49480</v>
      </c>
      <c r="H682" t="s">
        <v>147</v>
      </c>
      <c r="I682" t="s">
        <v>162</v>
      </c>
    </row>
    <row r="683" spans="1:9">
      <c r="A683" s="50">
        <v>45787</v>
      </c>
      <c r="B683" s="51">
        <v>0.8119907407407407</v>
      </c>
      <c r="C683" t="s">
        <v>145</v>
      </c>
      <c r="D683" t="s">
        <v>42</v>
      </c>
      <c r="E683" t="s">
        <v>47</v>
      </c>
      <c r="F683" t="s">
        <v>158</v>
      </c>
      <c r="G683">
        <v>-60000</v>
      </c>
      <c r="H683" t="s">
        <v>147</v>
      </c>
      <c r="I683" t="s">
        <v>57</v>
      </c>
    </row>
    <row r="684" spans="1:9">
      <c r="A684" s="50">
        <v>45787</v>
      </c>
      <c r="B684" s="51">
        <v>0.7860300925925926</v>
      </c>
      <c r="C684" t="s">
        <v>151</v>
      </c>
      <c r="D684" t="s">
        <v>160</v>
      </c>
      <c r="E684" t="s">
        <v>47</v>
      </c>
      <c r="F684" t="s">
        <v>7</v>
      </c>
      <c r="G684">
        <v>-400000</v>
      </c>
      <c r="H684" t="s">
        <v>147</v>
      </c>
      <c r="I684" t="s">
        <v>61</v>
      </c>
    </row>
    <row r="685" spans="1:9">
      <c r="A685" s="50">
        <v>45787</v>
      </c>
      <c r="B685" s="51">
        <v>0.7860300925925926</v>
      </c>
      <c r="C685" t="s">
        <v>151</v>
      </c>
      <c r="D685" t="s">
        <v>160</v>
      </c>
      <c r="E685" t="s">
        <v>47</v>
      </c>
      <c r="F685" t="s">
        <v>7</v>
      </c>
      <c r="G685">
        <v>400000</v>
      </c>
      <c r="H685" t="s">
        <v>147</v>
      </c>
      <c r="I685" t="s">
        <v>57</v>
      </c>
    </row>
    <row r="686" spans="1:9">
      <c r="A686" s="50">
        <v>45787</v>
      </c>
      <c r="B686" s="51">
        <v>0.7855208333333333</v>
      </c>
      <c r="C686" t="s">
        <v>151</v>
      </c>
      <c r="D686" t="s">
        <v>160</v>
      </c>
      <c r="E686" t="s">
        <v>47</v>
      </c>
      <c r="F686" t="s">
        <v>7</v>
      </c>
      <c r="G686">
        <v>-100000</v>
      </c>
      <c r="H686" t="s">
        <v>147</v>
      </c>
      <c r="I686" t="s">
        <v>61</v>
      </c>
    </row>
    <row r="687" spans="1:9">
      <c r="A687" s="50">
        <v>45786</v>
      </c>
      <c r="B687" s="51">
        <v>0.8743171296296296</v>
      </c>
      <c r="C687" t="s">
        <v>145</v>
      </c>
      <c r="D687" t="s">
        <v>34</v>
      </c>
      <c r="E687" t="s">
        <v>47</v>
      </c>
      <c r="F687" t="s">
        <v>146</v>
      </c>
      <c r="G687">
        <v>-200</v>
      </c>
      <c r="H687" t="s">
        <v>147</v>
      </c>
      <c r="I687" t="s">
        <v>148</v>
      </c>
    </row>
    <row r="688" spans="1:9">
      <c r="A688" s="50">
        <v>45786</v>
      </c>
      <c r="B688" s="51">
        <v>0.8676967592592593</v>
      </c>
      <c r="C688" t="s">
        <v>145</v>
      </c>
      <c r="D688" t="s">
        <v>38</v>
      </c>
      <c r="E688" t="s">
        <v>47</v>
      </c>
      <c r="F688" t="s">
        <v>203</v>
      </c>
      <c r="G688">
        <v>-6330</v>
      </c>
      <c r="H688" t="s">
        <v>147</v>
      </c>
      <c r="I688" t="s">
        <v>165</v>
      </c>
    </row>
    <row r="689" spans="1:9">
      <c r="A689" s="50">
        <v>45786</v>
      </c>
      <c r="B689" s="51">
        <v>0.8611805555555555</v>
      </c>
      <c r="C689" t="s">
        <v>145</v>
      </c>
      <c r="D689" t="s">
        <v>34</v>
      </c>
      <c r="E689" t="s">
        <v>47</v>
      </c>
      <c r="F689" t="s">
        <v>244</v>
      </c>
      <c r="G689">
        <v>-1500</v>
      </c>
      <c r="H689" t="s">
        <v>147</v>
      </c>
      <c r="I689" t="s">
        <v>148</v>
      </c>
    </row>
    <row r="690" spans="1:9">
      <c r="A690" s="50">
        <v>45786</v>
      </c>
      <c r="B690" s="51">
        <v>0.8115509259259259</v>
      </c>
      <c r="C690" t="s">
        <v>145</v>
      </c>
      <c r="D690" t="s">
        <v>42</v>
      </c>
      <c r="E690" t="s">
        <v>47</v>
      </c>
      <c r="F690" t="s">
        <v>158</v>
      </c>
      <c r="G690">
        <v>-220000</v>
      </c>
      <c r="H690" t="s">
        <v>147</v>
      </c>
      <c r="I690" t="s">
        <v>57</v>
      </c>
    </row>
    <row r="691" spans="1:9">
      <c r="A691" s="50">
        <v>45786</v>
      </c>
      <c r="B691" s="51">
        <v>0.778900462962963</v>
      </c>
      <c r="C691" t="s">
        <v>145</v>
      </c>
      <c r="D691" t="s">
        <v>34</v>
      </c>
      <c r="E691" t="s">
        <v>47</v>
      </c>
      <c r="F691" t="s">
        <v>244</v>
      </c>
      <c r="G691">
        <v>-1500</v>
      </c>
      <c r="H691" t="s">
        <v>147</v>
      </c>
      <c r="I691" t="s">
        <v>148</v>
      </c>
    </row>
    <row r="692" spans="1:9">
      <c r="A692" s="50">
        <v>45786</v>
      </c>
      <c r="B692" s="51">
        <v>0.6713425925925925</v>
      </c>
      <c r="C692" t="s">
        <v>151</v>
      </c>
      <c r="D692" t="s">
        <v>151</v>
      </c>
      <c r="E692" t="s">
        <v>47</v>
      </c>
      <c r="F692" t="s">
        <v>418</v>
      </c>
      <c r="G692">
        <v>-57000</v>
      </c>
      <c r="H692" t="s">
        <v>147</v>
      </c>
      <c r="I692" t="s">
        <v>57</v>
      </c>
    </row>
    <row r="693" spans="1:9">
      <c r="A693" s="50">
        <v>45786</v>
      </c>
      <c r="B693" s="51">
        <v>0.2878356481481482</v>
      </c>
      <c r="C693" t="s">
        <v>145</v>
      </c>
      <c r="D693" t="s">
        <v>34</v>
      </c>
      <c r="E693" t="s">
        <v>47</v>
      </c>
      <c r="F693" t="s">
        <v>146</v>
      </c>
      <c r="G693">
        <v>-1700</v>
      </c>
      <c r="H693" t="s">
        <v>147</v>
      </c>
      <c r="I693" t="s">
        <v>148</v>
      </c>
    </row>
    <row r="694" spans="1:9">
      <c r="A694" s="50">
        <v>45785</v>
      </c>
      <c r="B694" s="51">
        <v>0.7878125</v>
      </c>
      <c r="C694" t="s">
        <v>145</v>
      </c>
      <c r="D694" t="s">
        <v>42</v>
      </c>
      <c r="E694" t="s">
        <v>47</v>
      </c>
      <c r="F694" t="s">
        <v>158</v>
      </c>
      <c r="G694">
        <v>-10000</v>
      </c>
      <c r="H694" t="s">
        <v>147</v>
      </c>
      <c r="I694" t="s">
        <v>57</v>
      </c>
    </row>
    <row r="695" spans="1:9">
      <c r="A695" s="50">
        <v>45785</v>
      </c>
      <c r="B695" s="51">
        <v>0.7785185185185185</v>
      </c>
      <c r="C695" t="s">
        <v>145</v>
      </c>
      <c r="D695" t="s">
        <v>34</v>
      </c>
      <c r="E695" t="s">
        <v>47</v>
      </c>
      <c r="F695" t="s">
        <v>146</v>
      </c>
      <c r="G695">
        <v>-1700</v>
      </c>
      <c r="H695" t="s">
        <v>147</v>
      </c>
      <c r="I695" t="s">
        <v>148</v>
      </c>
    </row>
    <row r="696" spans="1:9">
      <c r="A696" s="50">
        <v>45785</v>
      </c>
      <c r="B696" s="51">
        <v>0.718912037037037</v>
      </c>
      <c r="C696" t="s">
        <v>145</v>
      </c>
      <c r="D696" t="s">
        <v>34</v>
      </c>
      <c r="E696" t="s">
        <v>47</v>
      </c>
      <c r="F696" t="s">
        <v>244</v>
      </c>
      <c r="G696">
        <v>-1500</v>
      </c>
      <c r="H696" t="s">
        <v>147</v>
      </c>
      <c r="I696" t="s">
        <v>148</v>
      </c>
    </row>
    <row r="697" spans="1:9">
      <c r="A697" s="50">
        <v>45785</v>
      </c>
      <c r="B697" s="51">
        <v>0.2943287037037037</v>
      </c>
      <c r="C697" t="s">
        <v>145</v>
      </c>
      <c r="D697" t="s">
        <v>34</v>
      </c>
      <c r="E697" t="s">
        <v>47</v>
      </c>
      <c r="F697" t="s">
        <v>146</v>
      </c>
      <c r="G697">
        <v>-1700</v>
      </c>
      <c r="H697" t="s">
        <v>147</v>
      </c>
      <c r="I697" t="s">
        <v>148</v>
      </c>
    </row>
    <row r="698" spans="1:9">
      <c r="A698" s="50">
        <v>45784</v>
      </c>
      <c r="B698" s="51">
        <v>0.7842824074074074</v>
      </c>
      <c r="C698" t="s">
        <v>151</v>
      </c>
      <c r="D698" t="s">
        <v>151</v>
      </c>
      <c r="E698" t="s">
        <v>47</v>
      </c>
      <c r="F698" t="s">
        <v>419</v>
      </c>
      <c r="G698">
        <v>-10000</v>
      </c>
      <c r="H698" t="s">
        <v>147</v>
      </c>
      <c r="I698" t="s">
        <v>57</v>
      </c>
    </row>
    <row r="699" spans="1:9">
      <c r="A699" s="50">
        <v>45784</v>
      </c>
      <c r="B699" s="51">
        <v>0.7755092592592593</v>
      </c>
      <c r="C699" t="s">
        <v>145</v>
      </c>
      <c r="D699" t="s">
        <v>36</v>
      </c>
      <c r="E699" t="s">
        <v>47</v>
      </c>
      <c r="F699" t="s">
        <v>245</v>
      </c>
      <c r="G699">
        <v>-54000</v>
      </c>
      <c r="H699" t="s">
        <v>147</v>
      </c>
      <c r="I699" t="s">
        <v>148</v>
      </c>
    </row>
    <row r="700" spans="1:9">
      <c r="A700" s="50">
        <v>45784</v>
      </c>
      <c r="B700" s="51">
        <v>0.7672453703703703</v>
      </c>
      <c r="C700" t="s">
        <v>145</v>
      </c>
      <c r="D700" t="s">
        <v>41</v>
      </c>
      <c r="E700" t="s">
        <v>47</v>
      </c>
      <c r="F700" t="s">
        <v>157</v>
      </c>
      <c r="G700">
        <v>-91700</v>
      </c>
      <c r="H700" t="s">
        <v>147</v>
      </c>
      <c r="I700" t="s">
        <v>57</v>
      </c>
    </row>
    <row r="701" spans="1:9">
      <c r="A701" s="50">
        <v>45783</v>
      </c>
      <c r="B701" s="51">
        <v>0.9573148148148148</v>
      </c>
      <c r="C701" t="s">
        <v>145</v>
      </c>
      <c r="D701" t="s">
        <v>42</v>
      </c>
      <c r="E701" t="s">
        <v>47</v>
      </c>
      <c r="F701" t="s">
        <v>158</v>
      </c>
      <c r="G701">
        <v>-130000</v>
      </c>
      <c r="H701" t="s">
        <v>147</v>
      </c>
      <c r="I701" t="s">
        <v>57</v>
      </c>
    </row>
    <row r="702" spans="1:9">
      <c r="A702" s="50">
        <v>45783</v>
      </c>
      <c r="B702" s="51">
        <v>0.7931712962962963</v>
      </c>
      <c r="C702" t="s">
        <v>145</v>
      </c>
      <c r="D702" t="s">
        <v>38</v>
      </c>
      <c r="E702" t="s">
        <v>47</v>
      </c>
      <c r="F702" t="s">
        <v>218</v>
      </c>
      <c r="G702">
        <v>-27990</v>
      </c>
      <c r="H702" t="s">
        <v>147</v>
      </c>
      <c r="I702" t="s">
        <v>165</v>
      </c>
    </row>
    <row r="703" spans="1:9">
      <c r="A703" s="50">
        <v>45783</v>
      </c>
      <c r="B703" s="51">
        <v>0.7486111111111111</v>
      </c>
      <c r="C703" t="s">
        <v>145</v>
      </c>
      <c r="D703" t="s">
        <v>46</v>
      </c>
      <c r="E703" t="s">
        <v>47</v>
      </c>
      <c r="F703" t="s">
        <v>420</v>
      </c>
      <c r="G703">
        <v>-39800</v>
      </c>
      <c r="H703" t="s">
        <v>147</v>
      </c>
      <c r="I703" t="s">
        <v>148</v>
      </c>
    </row>
    <row r="704" spans="1:9">
      <c r="A704" s="50">
        <v>45783</v>
      </c>
      <c r="B704" s="51">
        <v>0.7230324074074074</v>
      </c>
      <c r="C704" t="s">
        <v>145</v>
      </c>
      <c r="D704" t="s">
        <v>46</v>
      </c>
      <c r="E704" t="s">
        <v>47</v>
      </c>
      <c r="F704" t="s">
        <v>420</v>
      </c>
      <c r="G704">
        <v>-55180</v>
      </c>
      <c r="H704" t="s">
        <v>147</v>
      </c>
      <c r="I704" t="s">
        <v>148</v>
      </c>
    </row>
    <row r="705" spans="1:9">
      <c r="A705" s="50">
        <v>45783</v>
      </c>
      <c r="B705" s="51">
        <v>0.696400462962963</v>
      </c>
      <c r="C705" t="s">
        <v>145</v>
      </c>
      <c r="D705" t="s">
        <v>34</v>
      </c>
      <c r="E705" t="s">
        <v>47</v>
      </c>
      <c r="F705" t="s">
        <v>146</v>
      </c>
      <c r="G705">
        <v>-1700</v>
      </c>
      <c r="H705" t="s">
        <v>147</v>
      </c>
      <c r="I705" t="s">
        <v>148</v>
      </c>
    </row>
    <row r="706" spans="1:9">
      <c r="A706" s="50">
        <v>45782</v>
      </c>
      <c r="B706" s="51">
        <v>0.6752893518518519</v>
      </c>
      <c r="C706" t="s">
        <v>145</v>
      </c>
      <c r="D706" t="s">
        <v>45</v>
      </c>
      <c r="E706" t="s">
        <v>47</v>
      </c>
      <c r="F706" t="s">
        <v>421</v>
      </c>
      <c r="G706">
        <v>-30600</v>
      </c>
      <c r="H706" t="s">
        <v>147</v>
      </c>
      <c r="I706" t="s">
        <v>148</v>
      </c>
    </row>
    <row r="707" spans="1:9">
      <c r="A707" s="50">
        <v>45782</v>
      </c>
      <c r="B707" s="51">
        <v>0.5773842592592593</v>
      </c>
      <c r="C707" t="s">
        <v>151</v>
      </c>
      <c r="D707" t="s">
        <v>160</v>
      </c>
      <c r="E707" t="s">
        <v>47</v>
      </c>
      <c r="F707" t="s">
        <v>7</v>
      </c>
      <c r="G707">
        <v>-500000</v>
      </c>
      <c r="H707" t="s">
        <v>147</v>
      </c>
      <c r="I707" t="s">
        <v>61</v>
      </c>
    </row>
    <row r="708" spans="1:9">
      <c r="A708" s="50">
        <v>45782</v>
      </c>
      <c r="B708" s="51">
        <v>0.5773842592592593</v>
      </c>
      <c r="C708" t="s">
        <v>151</v>
      </c>
      <c r="D708" t="s">
        <v>160</v>
      </c>
      <c r="E708" t="s">
        <v>47</v>
      </c>
      <c r="F708" t="s">
        <v>7</v>
      </c>
      <c r="G708">
        <v>500000</v>
      </c>
      <c r="H708" t="s">
        <v>147</v>
      </c>
      <c r="I708" t="s">
        <v>57</v>
      </c>
    </row>
    <row r="709" spans="1:9">
      <c r="A709" s="50">
        <v>45782</v>
      </c>
      <c r="B709" s="51">
        <v>0.2378703703703704</v>
      </c>
      <c r="C709" t="s">
        <v>145</v>
      </c>
      <c r="D709" t="s">
        <v>34</v>
      </c>
      <c r="E709" t="s">
        <v>47</v>
      </c>
      <c r="F709" t="s">
        <v>422</v>
      </c>
      <c r="G709">
        <v>-1900</v>
      </c>
      <c r="H709" t="s">
        <v>147</v>
      </c>
      <c r="I709" t="s">
        <v>165</v>
      </c>
    </row>
    <row r="710" spans="1:9">
      <c r="A710" s="50">
        <v>45782</v>
      </c>
      <c r="B710" s="51">
        <v>0.2378703703703704</v>
      </c>
      <c r="C710" t="s">
        <v>145</v>
      </c>
      <c r="D710" t="s">
        <v>34</v>
      </c>
      <c r="E710" t="s">
        <v>47</v>
      </c>
      <c r="F710" t="s">
        <v>423</v>
      </c>
      <c r="G710">
        <v>-10200</v>
      </c>
      <c r="H710" t="s">
        <v>147</v>
      </c>
      <c r="I710" t="s">
        <v>165</v>
      </c>
    </row>
    <row r="711" spans="1:9">
      <c r="A711" s="50">
        <v>45782</v>
      </c>
      <c r="B711" s="51">
        <v>0.2378703703703704</v>
      </c>
      <c r="C711" t="s">
        <v>145</v>
      </c>
      <c r="D711" t="s">
        <v>34</v>
      </c>
      <c r="E711" t="s">
        <v>47</v>
      </c>
      <c r="F711" t="s">
        <v>424</v>
      </c>
      <c r="G711">
        <v>-11000</v>
      </c>
      <c r="H711" t="s">
        <v>147</v>
      </c>
      <c r="I711" t="s">
        <v>165</v>
      </c>
    </row>
    <row r="712" spans="1:9">
      <c r="A712" s="50">
        <v>45782</v>
      </c>
      <c r="B712" s="51">
        <v>0.2378703703703704</v>
      </c>
      <c r="C712" t="s">
        <v>145</v>
      </c>
      <c r="D712" t="s">
        <v>34</v>
      </c>
      <c r="E712" t="s">
        <v>47</v>
      </c>
      <c r="F712" t="s">
        <v>425</v>
      </c>
      <c r="G712">
        <v>-3000</v>
      </c>
      <c r="H712" t="s">
        <v>147</v>
      </c>
      <c r="I712" t="s">
        <v>165</v>
      </c>
    </row>
    <row r="713" spans="1:9">
      <c r="A713" s="50">
        <v>45782</v>
      </c>
      <c r="B713" s="51">
        <v>0.2378703703703704</v>
      </c>
      <c r="C713" t="s">
        <v>145</v>
      </c>
      <c r="D713" t="s">
        <v>47</v>
      </c>
      <c r="E713" t="s">
        <v>47</v>
      </c>
      <c r="F713" t="s">
        <v>426</v>
      </c>
      <c r="G713">
        <v>-8500</v>
      </c>
      <c r="H713" t="s">
        <v>147</v>
      </c>
      <c r="I713" t="s">
        <v>165</v>
      </c>
    </row>
    <row r="714" spans="1:9">
      <c r="A714" s="50">
        <v>45781</v>
      </c>
      <c r="B714" s="51">
        <v>0.8383796296296296</v>
      </c>
      <c r="C714" t="s">
        <v>145</v>
      </c>
      <c r="D714" t="s">
        <v>42</v>
      </c>
      <c r="E714" t="s">
        <v>47</v>
      </c>
      <c r="F714" t="s">
        <v>216</v>
      </c>
      <c r="G714">
        <v>-32000</v>
      </c>
      <c r="H714" t="s">
        <v>147</v>
      </c>
      <c r="I714" t="s">
        <v>148</v>
      </c>
    </row>
    <row r="715" spans="1:9">
      <c r="A715" s="50">
        <v>45781</v>
      </c>
      <c r="B715" s="51">
        <v>0.4451273148148148</v>
      </c>
      <c r="C715" t="s">
        <v>145</v>
      </c>
      <c r="D715" t="s">
        <v>34</v>
      </c>
      <c r="E715" t="s">
        <v>47</v>
      </c>
      <c r="F715" t="s">
        <v>146</v>
      </c>
      <c r="G715">
        <v>-1600</v>
      </c>
      <c r="H715" t="s">
        <v>147</v>
      </c>
      <c r="I715" t="s">
        <v>148</v>
      </c>
    </row>
    <row r="716" spans="1:9">
      <c r="A716" s="50">
        <v>45781</v>
      </c>
      <c r="B716" s="51">
        <v>0.3515856481481481</v>
      </c>
      <c r="C716" t="s">
        <v>145</v>
      </c>
      <c r="D716" t="s">
        <v>34</v>
      </c>
      <c r="E716" t="s">
        <v>47</v>
      </c>
      <c r="F716" t="s">
        <v>146</v>
      </c>
      <c r="G716">
        <v>-1500</v>
      </c>
      <c r="H716" t="s">
        <v>147</v>
      </c>
      <c r="I716" t="s">
        <v>148</v>
      </c>
    </row>
    <row r="717" spans="1:9">
      <c r="A717" s="50">
        <v>45780</v>
      </c>
      <c r="B717" s="51">
        <v>0.9596759259259259</v>
      </c>
      <c r="C717" t="s">
        <v>145</v>
      </c>
      <c r="D717" t="s">
        <v>42</v>
      </c>
      <c r="E717" t="s">
        <v>47</v>
      </c>
      <c r="F717" t="s">
        <v>427</v>
      </c>
      <c r="G717">
        <v>-5250</v>
      </c>
      <c r="H717" t="s">
        <v>147</v>
      </c>
      <c r="I717" t="s">
        <v>154</v>
      </c>
    </row>
    <row r="718" spans="1:9">
      <c r="A718" s="50">
        <v>45780</v>
      </c>
      <c r="B718" s="51">
        <v>0.9596759259259259</v>
      </c>
      <c r="C718" t="s">
        <v>151</v>
      </c>
      <c r="D718" t="s">
        <v>160</v>
      </c>
      <c r="E718" t="s">
        <v>47</v>
      </c>
      <c r="F718" t="s">
        <v>163</v>
      </c>
      <c r="G718">
        <v>-10000</v>
      </c>
      <c r="H718" t="s">
        <v>147</v>
      </c>
      <c r="I718" t="s">
        <v>57</v>
      </c>
    </row>
    <row r="719" spans="1:9">
      <c r="A719" s="50">
        <v>45780</v>
      </c>
      <c r="B719" s="51">
        <v>0.9596759259259259</v>
      </c>
      <c r="C719" t="s">
        <v>151</v>
      </c>
      <c r="D719" t="s">
        <v>160</v>
      </c>
      <c r="E719" t="s">
        <v>47</v>
      </c>
      <c r="F719" t="s">
        <v>161</v>
      </c>
      <c r="G719">
        <v>10000</v>
      </c>
      <c r="H719" t="s">
        <v>147</v>
      </c>
      <c r="I719" t="s">
        <v>162</v>
      </c>
    </row>
    <row r="720" spans="1:9">
      <c r="A720" s="50">
        <v>45780</v>
      </c>
      <c r="B720" s="51">
        <v>0.8027083333333334</v>
      </c>
      <c r="C720" t="s">
        <v>145</v>
      </c>
      <c r="D720" t="s">
        <v>34</v>
      </c>
      <c r="E720" t="s">
        <v>47</v>
      </c>
      <c r="F720" t="s">
        <v>146</v>
      </c>
      <c r="G720">
        <v>-300</v>
      </c>
      <c r="H720" t="s">
        <v>147</v>
      </c>
      <c r="I720" t="s">
        <v>148</v>
      </c>
    </row>
    <row r="721" spans="1:9">
      <c r="A721" s="50">
        <v>45780</v>
      </c>
      <c r="B721" s="51">
        <v>0.7869560185185185</v>
      </c>
      <c r="C721" t="s">
        <v>145</v>
      </c>
      <c r="D721" t="s">
        <v>34</v>
      </c>
      <c r="E721" t="s">
        <v>47</v>
      </c>
      <c r="F721" t="s">
        <v>244</v>
      </c>
      <c r="G721">
        <v>-1500</v>
      </c>
      <c r="H721" t="s">
        <v>147</v>
      </c>
      <c r="I721" t="s">
        <v>148</v>
      </c>
    </row>
    <row r="722" spans="1:9">
      <c r="A722" s="50">
        <v>45780</v>
      </c>
      <c r="B722" s="51">
        <v>0.7674189814814815</v>
      </c>
      <c r="C722" t="s">
        <v>145</v>
      </c>
      <c r="D722" t="s">
        <v>42</v>
      </c>
      <c r="E722" t="s">
        <v>47</v>
      </c>
      <c r="F722" t="s">
        <v>153</v>
      </c>
      <c r="G722">
        <v>-30000</v>
      </c>
      <c r="H722" t="s">
        <v>147</v>
      </c>
      <c r="I722" t="s">
        <v>154</v>
      </c>
    </row>
    <row r="723" spans="1:9">
      <c r="A723" s="50">
        <v>45780</v>
      </c>
      <c r="B723" s="51">
        <v>0.752199074074074</v>
      </c>
      <c r="C723" t="s">
        <v>145</v>
      </c>
      <c r="D723" t="s">
        <v>42</v>
      </c>
      <c r="E723" t="s">
        <v>47</v>
      </c>
      <c r="F723" t="s">
        <v>219</v>
      </c>
      <c r="G723">
        <v>-67140</v>
      </c>
      <c r="H723" t="s">
        <v>147</v>
      </c>
      <c r="I723" t="s">
        <v>148</v>
      </c>
    </row>
    <row r="724" spans="1:9">
      <c r="A724" s="50">
        <v>45780</v>
      </c>
      <c r="B724" s="51">
        <v>0.7417708333333334</v>
      </c>
      <c r="C724" t="s">
        <v>145</v>
      </c>
      <c r="D724" t="s">
        <v>34</v>
      </c>
      <c r="E724" t="s">
        <v>47</v>
      </c>
      <c r="F724" t="s">
        <v>244</v>
      </c>
      <c r="G724">
        <v>-1500</v>
      </c>
      <c r="H724" t="s">
        <v>147</v>
      </c>
      <c r="I724" t="s">
        <v>148</v>
      </c>
    </row>
    <row r="725" spans="1:9">
      <c r="A725" s="50">
        <v>45780</v>
      </c>
      <c r="B725" s="51">
        <v>0.6769791666666667</v>
      </c>
      <c r="C725" t="s">
        <v>145</v>
      </c>
      <c r="D725" t="s">
        <v>38</v>
      </c>
      <c r="E725" t="s">
        <v>47</v>
      </c>
      <c r="F725" t="s">
        <v>428</v>
      </c>
      <c r="G725">
        <v>-7390</v>
      </c>
      <c r="H725" t="s">
        <v>147</v>
      </c>
      <c r="I725" t="s">
        <v>148</v>
      </c>
    </row>
    <row r="726" spans="1:9">
      <c r="A726" s="50">
        <v>45780</v>
      </c>
      <c r="B726" s="51">
        <v>0.6391087962962962</v>
      </c>
      <c r="C726" t="s">
        <v>145</v>
      </c>
      <c r="D726" t="s">
        <v>45</v>
      </c>
      <c r="E726" t="s">
        <v>47</v>
      </c>
      <c r="F726" t="s">
        <v>429</v>
      </c>
      <c r="G726">
        <v>-25500</v>
      </c>
      <c r="H726" t="s">
        <v>147</v>
      </c>
      <c r="I726" t="s">
        <v>148</v>
      </c>
    </row>
    <row r="727" spans="1:9">
      <c r="A727" s="50">
        <v>45780</v>
      </c>
      <c r="B727" s="51">
        <v>0.5370370370370371</v>
      </c>
      <c r="C727" t="s">
        <v>145</v>
      </c>
      <c r="D727" t="s">
        <v>46</v>
      </c>
      <c r="E727" t="s">
        <v>47</v>
      </c>
      <c r="F727" t="s">
        <v>430</v>
      </c>
      <c r="G727">
        <v>-81000</v>
      </c>
      <c r="H727" t="s">
        <v>147</v>
      </c>
      <c r="I727" t="s">
        <v>148</v>
      </c>
    </row>
    <row r="728" spans="1:9">
      <c r="A728" s="50">
        <v>45780</v>
      </c>
      <c r="B728" s="51">
        <v>0.4961574074074074</v>
      </c>
      <c r="C728" t="s">
        <v>151</v>
      </c>
      <c r="D728" t="s">
        <v>160</v>
      </c>
      <c r="E728" t="s">
        <v>47</v>
      </c>
      <c r="F728" t="s">
        <v>7</v>
      </c>
      <c r="G728">
        <v>-1000000</v>
      </c>
      <c r="H728" t="s">
        <v>147</v>
      </c>
      <c r="I728" t="s">
        <v>57</v>
      </c>
    </row>
    <row r="729" spans="1:9">
      <c r="A729" s="50">
        <v>45780</v>
      </c>
      <c r="B729" s="51">
        <v>0.4961574074074074</v>
      </c>
      <c r="C729" t="s">
        <v>151</v>
      </c>
      <c r="D729" t="s">
        <v>160</v>
      </c>
      <c r="E729" t="s">
        <v>47</v>
      </c>
      <c r="F729" t="s">
        <v>7</v>
      </c>
      <c r="G729">
        <v>1000000</v>
      </c>
      <c r="H729" t="s">
        <v>147</v>
      </c>
      <c r="I729" t="s">
        <v>61</v>
      </c>
    </row>
    <row r="730" spans="1:9">
      <c r="A730" s="50">
        <v>45780</v>
      </c>
      <c r="B730" s="51">
        <v>0.4955787037037037</v>
      </c>
      <c r="C730" t="s">
        <v>151</v>
      </c>
      <c r="D730" t="s">
        <v>160</v>
      </c>
      <c r="E730" t="s">
        <v>47</v>
      </c>
      <c r="F730" t="s">
        <v>7</v>
      </c>
      <c r="G730">
        <v>1000000</v>
      </c>
      <c r="H730" t="s">
        <v>147</v>
      </c>
      <c r="I730" t="s">
        <v>57</v>
      </c>
    </row>
    <row r="731" spans="1:9">
      <c r="A731" s="50">
        <v>45780</v>
      </c>
      <c r="B731" s="51">
        <v>0.4931597222222222</v>
      </c>
      <c r="C731" t="s">
        <v>151</v>
      </c>
      <c r="D731" t="s">
        <v>47</v>
      </c>
      <c r="E731" t="s">
        <v>47</v>
      </c>
      <c r="F731" t="s">
        <v>394</v>
      </c>
      <c r="G731">
        <v>299300</v>
      </c>
      <c r="H731" t="s">
        <v>147</v>
      </c>
      <c r="I731" t="s">
        <v>57</v>
      </c>
    </row>
    <row r="732" spans="1:9">
      <c r="A732" s="50">
        <v>45780</v>
      </c>
      <c r="B732" s="51">
        <v>0.4387268518518518</v>
      </c>
      <c r="C732" t="s">
        <v>145</v>
      </c>
      <c r="D732" t="s">
        <v>43</v>
      </c>
      <c r="E732" t="s">
        <v>47</v>
      </c>
      <c r="F732" t="s">
        <v>431</v>
      </c>
      <c r="G732">
        <v>-10000</v>
      </c>
      <c r="H732" t="s">
        <v>147</v>
      </c>
      <c r="I732" t="s">
        <v>148</v>
      </c>
    </row>
    <row r="733" spans="1:9">
      <c r="A733" s="50">
        <v>45780</v>
      </c>
      <c r="B733" s="51">
        <v>0.3746759259259259</v>
      </c>
      <c r="C733" t="s">
        <v>145</v>
      </c>
      <c r="D733" t="s">
        <v>38</v>
      </c>
      <c r="E733" t="s">
        <v>47</v>
      </c>
      <c r="F733" t="s">
        <v>432</v>
      </c>
      <c r="G733">
        <v>-2800</v>
      </c>
      <c r="H733" t="s">
        <v>147</v>
      </c>
      <c r="I733" t="s">
        <v>148</v>
      </c>
    </row>
    <row r="734" spans="1:9">
      <c r="A734" s="50">
        <v>45780</v>
      </c>
      <c r="B734" s="51">
        <v>0.294212962962963</v>
      </c>
      <c r="C734" t="s">
        <v>145</v>
      </c>
      <c r="D734" t="s">
        <v>34</v>
      </c>
      <c r="E734" t="s">
        <v>47</v>
      </c>
      <c r="F734" t="s">
        <v>146</v>
      </c>
      <c r="G734">
        <v>-1700</v>
      </c>
      <c r="H734" t="s">
        <v>147</v>
      </c>
      <c r="I734" t="s">
        <v>148</v>
      </c>
    </row>
    <row r="735" spans="1:9">
      <c r="A735" s="50">
        <v>45779</v>
      </c>
      <c r="B735" s="51">
        <v>0.7561342592592593</v>
      </c>
      <c r="C735" t="s">
        <v>145</v>
      </c>
      <c r="D735" t="s">
        <v>37</v>
      </c>
      <c r="E735" t="s">
        <v>47</v>
      </c>
      <c r="F735" t="s">
        <v>433</v>
      </c>
      <c r="G735">
        <v>-286000</v>
      </c>
      <c r="H735" t="s">
        <v>147</v>
      </c>
      <c r="I735" t="s">
        <v>148</v>
      </c>
    </row>
    <row r="736" spans="1:9">
      <c r="A736" s="50">
        <v>45779</v>
      </c>
      <c r="B736" s="51">
        <v>0.5909837962962963</v>
      </c>
      <c r="C736" t="s">
        <v>151</v>
      </c>
      <c r="D736" t="s">
        <v>160</v>
      </c>
      <c r="E736" t="s">
        <v>47</v>
      </c>
      <c r="F736" t="s">
        <v>7</v>
      </c>
      <c r="G736">
        <v>-500000</v>
      </c>
      <c r="H736" t="s">
        <v>147</v>
      </c>
      <c r="I736" t="s">
        <v>61</v>
      </c>
    </row>
    <row r="737" spans="1:9">
      <c r="A737" s="50">
        <v>45779</v>
      </c>
      <c r="B737" s="51">
        <v>0.5909837962962963</v>
      </c>
      <c r="C737" t="s">
        <v>151</v>
      </c>
      <c r="D737" t="s">
        <v>160</v>
      </c>
      <c r="E737" t="s">
        <v>47</v>
      </c>
      <c r="F737" t="s">
        <v>7</v>
      </c>
      <c r="G737">
        <v>500000</v>
      </c>
      <c r="H737" t="s">
        <v>147</v>
      </c>
      <c r="I737" t="s">
        <v>57</v>
      </c>
    </row>
    <row r="738" spans="1:9">
      <c r="A738" s="50">
        <v>45779</v>
      </c>
      <c r="B738" s="51">
        <v>0.4133796296296297</v>
      </c>
      <c r="C738" t="s">
        <v>145</v>
      </c>
      <c r="D738" t="s">
        <v>42</v>
      </c>
      <c r="E738" t="s">
        <v>47</v>
      </c>
      <c r="F738" t="s">
        <v>158</v>
      </c>
      <c r="G738">
        <v>-40000</v>
      </c>
      <c r="H738" t="s">
        <v>147</v>
      </c>
      <c r="I738" t="s">
        <v>57</v>
      </c>
    </row>
    <row r="739" spans="1:9">
      <c r="A739" s="50">
        <v>45778</v>
      </c>
      <c r="B739" s="51">
        <v>0.7945023148148148</v>
      </c>
      <c r="C739" t="s">
        <v>145</v>
      </c>
      <c r="D739" t="s">
        <v>34</v>
      </c>
      <c r="E739" t="s">
        <v>47</v>
      </c>
      <c r="F739" t="s">
        <v>434</v>
      </c>
      <c r="G739">
        <v>-6000</v>
      </c>
      <c r="H739" t="s">
        <v>147</v>
      </c>
      <c r="I739" t="s">
        <v>165</v>
      </c>
    </row>
    <row r="740" spans="1:9">
      <c r="A740" s="50">
        <v>45778</v>
      </c>
      <c r="B740" s="51">
        <v>0.7454282407407408</v>
      </c>
      <c r="C740" t="s">
        <v>145</v>
      </c>
      <c r="D740" t="s">
        <v>34</v>
      </c>
      <c r="E740" t="s">
        <v>47</v>
      </c>
      <c r="F740" t="s">
        <v>146</v>
      </c>
      <c r="G740">
        <v>-1700</v>
      </c>
      <c r="H740" t="s">
        <v>147</v>
      </c>
      <c r="I740" t="s">
        <v>148</v>
      </c>
    </row>
    <row r="741" spans="1:9">
      <c r="A741" s="50">
        <v>45778</v>
      </c>
      <c r="B741" s="51">
        <v>0.6995949074074074</v>
      </c>
      <c r="C741" t="s">
        <v>145</v>
      </c>
      <c r="D741" t="s">
        <v>45</v>
      </c>
      <c r="E741" t="s">
        <v>47</v>
      </c>
      <c r="F741" t="s">
        <v>435</v>
      </c>
      <c r="G741">
        <v>-13800</v>
      </c>
      <c r="H741" t="s">
        <v>147</v>
      </c>
      <c r="I741" t="s">
        <v>165</v>
      </c>
    </row>
    <row r="742" spans="1:9">
      <c r="A742" s="50">
        <v>45778</v>
      </c>
      <c r="B742" s="51">
        <v>0.645150462962963</v>
      </c>
      <c r="C742" t="s">
        <v>145</v>
      </c>
      <c r="D742" t="s">
        <v>36</v>
      </c>
      <c r="E742" t="s">
        <v>47</v>
      </c>
      <c r="F742" t="s">
        <v>436</v>
      </c>
      <c r="G742">
        <v>-4000</v>
      </c>
      <c r="H742" t="s">
        <v>147</v>
      </c>
      <c r="I742" t="s">
        <v>165</v>
      </c>
    </row>
    <row r="743" spans="1:9">
      <c r="A743" s="50">
        <v>45778</v>
      </c>
      <c r="B743" s="51">
        <v>0.6422916666666667</v>
      </c>
      <c r="C743" t="s">
        <v>145</v>
      </c>
      <c r="D743" t="s">
        <v>36</v>
      </c>
      <c r="E743" t="s">
        <v>47</v>
      </c>
      <c r="F743" t="s">
        <v>437</v>
      </c>
      <c r="G743">
        <v>-5000</v>
      </c>
      <c r="H743" t="s">
        <v>147</v>
      </c>
      <c r="I743" t="s">
        <v>148</v>
      </c>
    </row>
    <row r="744" spans="1:9">
      <c r="A744" s="50">
        <v>45778</v>
      </c>
      <c r="B744" s="51">
        <v>0.6420601851851852</v>
      </c>
      <c r="C744" t="s">
        <v>145</v>
      </c>
      <c r="D744" t="s">
        <v>36</v>
      </c>
      <c r="E744" t="s">
        <v>47</v>
      </c>
      <c r="F744" t="s">
        <v>437</v>
      </c>
      <c r="G744">
        <v>-5000</v>
      </c>
      <c r="H744" t="s">
        <v>147</v>
      </c>
      <c r="I744" t="s">
        <v>148</v>
      </c>
    </row>
    <row r="745" spans="1:9">
      <c r="A745" s="50">
        <v>45778</v>
      </c>
      <c r="B745" s="51">
        <v>0.5819212962962963</v>
      </c>
      <c r="C745" t="s">
        <v>145</v>
      </c>
      <c r="D745" t="s">
        <v>42</v>
      </c>
      <c r="E745" t="s">
        <v>47</v>
      </c>
      <c r="F745" t="s">
        <v>158</v>
      </c>
      <c r="G745">
        <v>-40000</v>
      </c>
      <c r="H745" t="s">
        <v>147</v>
      </c>
      <c r="I745" t="s">
        <v>57</v>
      </c>
    </row>
    <row r="746" spans="1:9">
      <c r="A746" s="50">
        <v>45778</v>
      </c>
      <c r="B746" s="51">
        <v>0.5818055555555556</v>
      </c>
      <c r="C746" t="s">
        <v>151</v>
      </c>
      <c r="D746" t="s">
        <v>160</v>
      </c>
      <c r="E746" t="s">
        <v>47</v>
      </c>
      <c r="F746" t="s">
        <v>7</v>
      </c>
      <c r="G746">
        <v>49000</v>
      </c>
      <c r="H746" t="s">
        <v>147</v>
      </c>
      <c r="I746" t="s">
        <v>57</v>
      </c>
    </row>
    <row r="747" spans="1:9">
      <c r="A747" s="50">
        <v>45778</v>
      </c>
      <c r="B747" s="51">
        <v>0.2853935185185185</v>
      </c>
      <c r="C747" t="s">
        <v>145</v>
      </c>
      <c r="D747" t="s">
        <v>34</v>
      </c>
      <c r="E747" t="s">
        <v>47</v>
      </c>
      <c r="F747" t="s">
        <v>146</v>
      </c>
      <c r="G747">
        <v>-1700</v>
      </c>
      <c r="H747" t="s">
        <v>147</v>
      </c>
      <c r="I747" t="s">
        <v>148</v>
      </c>
    </row>
    <row r="748" spans="1:9">
      <c r="A748" s="50">
        <v>45777</v>
      </c>
      <c r="B748" s="51">
        <v>0.7957175925925926</v>
      </c>
      <c r="C748" t="s">
        <v>145</v>
      </c>
      <c r="D748" t="s">
        <v>35</v>
      </c>
      <c r="E748" t="s">
        <v>204</v>
      </c>
      <c r="F748" t="s">
        <v>438</v>
      </c>
      <c r="G748">
        <v>-99360</v>
      </c>
      <c r="H748" t="s">
        <v>147</v>
      </c>
      <c r="I748" t="s">
        <v>57</v>
      </c>
    </row>
    <row r="749" spans="1:9">
      <c r="A749" s="50">
        <v>45777</v>
      </c>
      <c r="B749" s="51">
        <v>0.7726620370370371</v>
      </c>
      <c r="C749" t="s">
        <v>145</v>
      </c>
      <c r="D749" t="s">
        <v>34</v>
      </c>
      <c r="E749" t="s">
        <v>47</v>
      </c>
      <c r="F749" t="s">
        <v>146</v>
      </c>
      <c r="G749">
        <v>-300</v>
      </c>
      <c r="H749" t="s">
        <v>147</v>
      </c>
      <c r="I749" t="s">
        <v>148</v>
      </c>
    </row>
    <row r="750" spans="1:9">
      <c r="A750" s="50">
        <v>45777</v>
      </c>
      <c r="B750" s="51">
        <v>0.7414236111111111</v>
      </c>
      <c r="C750" t="s">
        <v>145</v>
      </c>
      <c r="D750" t="s">
        <v>34</v>
      </c>
      <c r="E750" t="s">
        <v>47</v>
      </c>
      <c r="F750" t="s">
        <v>244</v>
      </c>
      <c r="G750">
        <v>-300</v>
      </c>
      <c r="H750" t="s">
        <v>147</v>
      </c>
      <c r="I750" t="s">
        <v>148</v>
      </c>
    </row>
    <row r="751" spans="1:9">
      <c r="A751" s="50">
        <v>45777</v>
      </c>
      <c r="B751" s="51">
        <v>0.7334259259259259</v>
      </c>
      <c r="C751" t="s">
        <v>145</v>
      </c>
      <c r="D751" t="s">
        <v>34</v>
      </c>
      <c r="E751" t="s">
        <v>47</v>
      </c>
      <c r="F751" t="s">
        <v>244</v>
      </c>
      <c r="G751">
        <v>-1200</v>
      </c>
      <c r="H751" t="s">
        <v>147</v>
      </c>
      <c r="I751" t="s">
        <v>148</v>
      </c>
    </row>
    <row r="752" spans="1:9">
      <c r="A752" s="50">
        <v>45777</v>
      </c>
      <c r="B752" s="51">
        <v>0.5603587962962963</v>
      </c>
      <c r="C752" t="s">
        <v>145</v>
      </c>
      <c r="D752" t="s">
        <v>45</v>
      </c>
      <c r="E752" t="s">
        <v>47</v>
      </c>
      <c r="F752" t="s">
        <v>439</v>
      </c>
      <c r="G752">
        <v>-8700</v>
      </c>
      <c r="H752" t="s">
        <v>147</v>
      </c>
      <c r="I752" t="s">
        <v>148</v>
      </c>
    </row>
    <row r="753" spans="1:9">
      <c r="A753" s="50">
        <v>45777</v>
      </c>
      <c r="B753" s="51">
        <v>0.2878703703703704</v>
      </c>
      <c r="C753" t="s">
        <v>145</v>
      </c>
      <c r="D753" t="s">
        <v>34</v>
      </c>
      <c r="E753" t="s">
        <v>47</v>
      </c>
      <c r="F753" t="s">
        <v>146</v>
      </c>
      <c r="G753">
        <v>-1700</v>
      </c>
      <c r="H753" t="s">
        <v>147</v>
      </c>
      <c r="I753" t="s">
        <v>148</v>
      </c>
    </row>
    <row r="754" spans="1:9">
      <c r="A754" s="50">
        <v>45776</v>
      </c>
      <c r="B754" s="51">
        <v>0.7490393518518519</v>
      </c>
      <c r="C754" t="s">
        <v>145</v>
      </c>
      <c r="D754" t="s">
        <v>37</v>
      </c>
      <c r="E754" t="s">
        <v>47</v>
      </c>
      <c r="F754" t="s">
        <v>433</v>
      </c>
      <c r="G754">
        <v>-143000</v>
      </c>
      <c r="H754" t="s">
        <v>147</v>
      </c>
      <c r="I754" t="s">
        <v>148</v>
      </c>
    </row>
    <row r="755" spans="1:9">
      <c r="A755" s="50">
        <v>45776</v>
      </c>
      <c r="B755" s="51">
        <v>0.7368055555555556</v>
      </c>
      <c r="C755" t="s">
        <v>145</v>
      </c>
      <c r="D755" t="s">
        <v>34</v>
      </c>
      <c r="E755" t="s">
        <v>47</v>
      </c>
      <c r="F755" t="s">
        <v>244</v>
      </c>
      <c r="G755">
        <v>-1500</v>
      </c>
      <c r="H755" t="s">
        <v>147</v>
      </c>
      <c r="I755" t="s">
        <v>148</v>
      </c>
    </row>
    <row r="756" spans="1:9">
      <c r="A756" s="50">
        <v>45776</v>
      </c>
      <c r="B756" s="51">
        <v>0.3284027777777778</v>
      </c>
      <c r="C756" t="s">
        <v>145</v>
      </c>
      <c r="D756" t="s">
        <v>38</v>
      </c>
      <c r="E756" t="s">
        <v>47</v>
      </c>
      <c r="F756" t="s">
        <v>268</v>
      </c>
      <c r="G756">
        <v>-5800</v>
      </c>
      <c r="H756" t="s">
        <v>147</v>
      </c>
      <c r="I756" t="s">
        <v>148</v>
      </c>
    </row>
    <row r="757" spans="1:9">
      <c r="A757" s="50">
        <v>45776</v>
      </c>
      <c r="B757" s="51">
        <v>0.2937962962962963</v>
      </c>
      <c r="C757" t="s">
        <v>145</v>
      </c>
      <c r="D757" t="s">
        <v>34</v>
      </c>
      <c r="E757" t="s">
        <v>47</v>
      </c>
      <c r="F757" t="s">
        <v>146</v>
      </c>
      <c r="G757">
        <v>-1700</v>
      </c>
      <c r="H757" t="s">
        <v>147</v>
      </c>
      <c r="I757" t="s">
        <v>148</v>
      </c>
    </row>
    <row r="758" spans="1:9">
      <c r="A758" s="50">
        <v>45776</v>
      </c>
      <c r="B758" s="51">
        <v>0.2860532407407407</v>
      </c>
      <c r="C758" t="s">
        <v>151</v>
      </c>
      <c r="D758" t="s">
        <v>160</v>
      </c>
      <c r="E758" t="s">
        <v>47</v>
      </c>
      <c r="F758" t="s">
        <v>7</v>
      </c>
      <c r="G758">
        <v>100000</v>
      </c>
      <c r="H758" t="s">
        <v>147</v>
      </c>
      <c r="I758" t="s">
        <v>57</v>
      </c>
    </row>
    <row r="759" spans="1:9">
      <c r="A759" s="50">
        <v>45776</v>
      </c>
      <c r="B759" s="51">
        <v>0.2860532407407407</v>
      </c>
      <c r="C759" t="s">
        <v>151</v>
      </c>
      <c r="D759" t="s">
        <v>160</v>
      </c>
      <c r="E759" t="s">
        <v>47</v>
      </c>
      <c r="F759" t="s">
        <v>7</v>
      </c>
      <c r="G759">
        <v>-100000</v>
      </c>
      <c r="H759" t="s">
        <v>147</v>
      </c>
      <c r="I759" t="s">
        <v>61</v>
      </c>
    </row>
    <row r="760" spans="1:9">
      <c r="A760" s="50">
        <v>45776</v>
      </c>
      <c r="B760" s="51">
        <v>0.2519907407407407</v>
      </c>
      <c r="C760" t="s">
        <v>151</v>
      </c>
      <c r="D760" t="s">
        <v>151</v>
      </c>
      <c r="E760" t="s">
        <v>47</v>
      </c>
      <c r="F760" t="s">
        <v>163</v>
      </c>
      <c r="G760">
        <v>-22000</v>
      </c>
      <c r="H760" t="s">
        <v>147</v>
      </c>
      <c r="I760" t="s">
        <v>57</v>
      </c>
    </row>
    <row r="761" spans="1:9">
      <c r="A761" s="50">
        <v>45775</v>
      </c>
      <c r="B761" s="51">
        <v>0.7680208333333334</v>
      </c>
      <c r="C761" t="s">
        <v>145</v>
      </c>
      <c r="D761" t="s">
        <v>35</v>
      </c>
      <c r="E761" t="s">
        <v>47</v>
      </c>
      <c r="F761" t="s">
        <v>202</v>
      </c>
      <c r="G761">
        <v>-10000</v>
      </c>
      <c r="H761" t="s">
        <v>147</v>
      </c>
      <c r="I761" t="s">
        <v>57</v>
      </c>
    </row>
    <row r="762" spans="1:9">
      <c r="A762" s="50">
        <v>45775</v>
      </c>
      <c r="B762" s="51">
        <v>0.5492592592592592</v>
      </c>
      <c r="C762" t="s">
        <v>145</v>
      </c>
      <c r="D762" t="s">
        <v>34</v>
      </c>
      <c r="E762" t="s">
        <v>47</v>
      </c>
      <c r="F762" t="s">
        <v>146</v>
      </c>
      <c r="G762">
        <v>-1500</v>
      </c>
      <c r="H762" t="s">
        <v>147</v>
      </c>
      <c r="I762" t="s">
        <v>148</v>
      </c>
    </row>
    <row r="763" spans="1:9">
      <c r="A763" s="50">
        <v>45774</v>
      </c>
      <c r="B763" s="51">
        <v>0.7621296296296296</v>
      </c>
      <c r="C763" t="s">
        <v>145</v>
      </c>
      <c r="D763" t="s">
        <v>40</v>
      </c>
      <c r="E763" t="s">
        <v>47</v>
      </c>
      <c r="F763" t="s">
        <v>440</v>
      </c>
      <c r="G763">
        <v>-152200</v>
      </c>
      <c r="H763" t="s">
        <v>147</v>
      </c>
      <c r="I763" t="s">
        <v>148</v>
      </c>
    </row>
    <row r="764" spans="1:9">
      <c r="A764" s="50">
        <v>45774</v>
      </c>
      <c r="B764" s="51">
        <v>0.5100347222222222</v>
      </c>
      <c r="C764" t="s">
        <v>145</v>
      </c>
      <c r="D764" t="s">
        <v>42</v>
      </c>
      <c r="E764" t="s">
        <v>47</v>
      </c>
      <c r="F764" t="s">
        <v>153</v>
      </c>
      <c r="G764">
        <v>-20000</v>
      </c>
      <c r="H764" t="s">
        <v>147</v>
      </c>
      <c r="I764" t="s">
        <v>154</v>
      </c>
    </row>
    <row r="765" spans="1:9">
      <c r="A765" s="50">
        <v>45774</v>
      </c>
      <c r="B765" s="51">
        <v>0.4036342592592593</v>
      </c>
      <c r="C765" t="s">
        <v>151</v>
      </c>
      <c r="D765" t="s">
        <v>160</v>
      </c>
      <c r="E765" t="s">
        <v>47</v>
      </c>
      <c r="F765" t="s">
        <v>7</v>
      </c>
      <c r="G765">
        <v>-200000</v>
      </c>
      <c r="H765" t="s">
        <v>147</v>
      </c>
      <c r="I765" t="s">
        <v>61</v>
      </c>
    </row>
    <row r="766" spans="1:9">
      <c r="A766" s="50">
        <v>45774</v>
      </c>
      <c r="B766" s="51">
        <v>0.4036342592592593</v>
      </c>
      <c r="C766" t="s">
        <v>151</v>
      </c>
      <c r="D766" t="s">
        <v>160</v>
      </c>
      <c r="E766" t="s">
        <v>47</v>
      </c>
      <c r="F766" t="s">
        <v>7</v>
      </c>
      <c r="G766">
        <v>200000</v>
      </c>
      <c r="H766" t="s">
        <v>147</v>
      </c>
      <c r="I766" t="s">
        <v>57</v>
      </c>
    </row>
    <row r="767" spans="1:9">
      <c r="A767" s="50">
        <v>45773</v>
      </c>
      <c r="B767" s="51">
        <v>0.9717361111111111</v>
      </c>
      <c r="C767" t="s">
        <v>145</v>
      </c>
      <c r="D767" t="s">
        <v>34</v>
      </c>
      <c r="E767" t="s">
        <v>47</v>
      </c>
      <c r="F767" t="s">
        <v>244</v>
      </c>
      <c r="G767">
        <v>-200</v>
      </c>
      <c r="H767" t="s">
        <v>147</v>
      </c>
      <c r="I767" t="s">
        <v>148</v>
      </c>
    </row>
    <row r="768" spans="1:9">
      <c r="A768" s="50">
        <v>45773</v>
      </c>
      <c r="B768" s="51">
        <v>0.9592939814814815</v>
      </c>
      <c r="C768" t="s">
        <v>145</v>
      </c>
      <c r="D768" t="s">
        <v>34</v>
      </c>
      <c r="E768" t="s">
        <v>47</v>
      </c>
      <c r="F768" t="s">
        <v>146</v>
      </c>
      <c r="G768">
        <v>-1400</v>
      </c>
      <c r="H768" t="s">
        <v>147</v>
      </c>
      <c r="I768" t="s">
        <v>148</v>
      </c>
    </row>
    <row r="769" spans="1:9">
      <c r="A769" s="50">
        <v>45773</v>
      </c>
      <c r="B769" s="51">
        <v>0.7886805555555556</v>
      </c>
      <c r="C769" t="s">
        <v>145</v>
      </c>
      <c r="D769" t="s">
        <v>41</v>
      </c>
      <c r="E769" t="s">
        <v>47</v>
      </c>
      <c r="F769" t="s">
        <v>441</v>
      </c>
      <c r="G769">
        <v>-84200</v>
      </c>
      <c r="H769" t="s">
        <v>147</v>
      </c>
      <c r="I769" t="s">
        <v>165</v>
      </c>
    </row>
    <row r="770" spans="1:9">
      <c r="A770" s="50">
        <v>45773</v>
      </c>
      <c r="B770" s="51">
        <v>0.7174537037037036</v>
      </c>
      <c r="C770" t="s">
        <v>145</v>
      </c>
      <c r="D770" t="s">
        <v>34</v>
      </c>
      <c r="E770" t="s">
        <v>47</v>
      </c>
      <c r="F770" t="s">
        <v>146</v>
      </c>
      <c r="G770">
        <v>-1400</v>
      </c>
      <c r="H770" t="s">
        <v>147</v>
      </c>
      <c r="I770" t="s">
        <v>148</v>
      </c>
    </row>
    <row r="771" spans="1:9">
      <c r="A771" s="50">
        <v>45773</v>
      </c>
      <c r="B771" s="51">
        <v>0.6568402777777778</v>
      </c>
      <c r="C771" t="s">
        <v>145</v>
      </c>
      <c r="D771" t="s">
        <v>45</v>
      </c>
      <c r="E771" t="s">
        <v>47</v>
      </c>
      <c r="F771" t="s">
        <v>442</v>
      </c>
      <c r="G771">
        <v>-20500</v>
      </c>
      <c r="H771" t="s">
        <v>147</v>
      </c>
      <c r="I771" t="s">
        <v>165</v>
      </c>
    </row>
    <row r="772" spans="1:9">
      <c r="A772" s="50">
        <v>45773</v>
      </c>
      <c r="B772" s="51">
        <v>0.2942824074074074</v>
      </c>
      <c r="C772" t="s">
        <v>145</v>
      </c>
      <c r="D772" t="s">
        <v>34</v>
      </c>
      <c r="E772" t="s">
        <v>47</v>
      </c>
      <c r="F772" t="s">
        <v>146</v>
      </c>
      <c r="G772">
        <v>-1700</v>
      </c>
      <c r="H772" t="s">
        <v>147</v>
      </c>
      <c r="I772" t="s">
        <v>148</v>
      </c>
    </row>
    <row r="773" spans="1:9">
      <c r="A773" s="50">
        <v>45772</v>
      </c>
      <c r="B773" s="51">
        <v>0.972025462962963</v>
      </c>
      <c r="C773" t="s">
        <v>151</v>
      </c>
      <c r="D773" t="s">
        <v>160</v>
      </c>
      <c r="E773" t="s">
        <v>47</v>
      </c>
      <c r="F773" t="s">
        <v>7</v>
      </c>
      <c r="G773">
        <v>-200000</v>
      </c>
      <c r="H773" t="s">
        <v>147</v>
      </c>
      <c r="I773" t="s">
        <v>61</v>
      </c>
    </row>
    <row r="774" spans="1:9">
      <c r="A774" s="50">
        <v>45772</v>
      </c>
      <c r="B774" s="51">
        <v>0.972025462962963</v>
      </c>
      <c r="C774" t="s">
        <v>151</v>
      </c>
      <c r="D774" t="s">
        <v>160</v>
      </c>
      <c r="E774" t="s">
        <v>47</v>
      </c>
      <c r="F774" t="s">
        <v>7</v>
      </c>
      <c r="G774">
        <v>200000</v>
      </c>
      <c r="H774" t="s">
        <v>147</v>
      </c>
      <c r="I774" t="s">
        <v>57</v>
      </c>
    </row>
    <row r="775" spans="1:9">
      <c r="A775" s="50">
        <v>45772</v>
      </c>
      <c r="B775" s="51">
        <v>0.9099884259259259</v>
      </c>
      <c r="C775" t="s">
        <v>145</v>
      </c>
      <c r="D775" t="s">
        <v>34</v>
      </c>
      <c r="E775" t="s">
        <v>47</v>
      </c>
      <c r="F775" t="s">
        <v>244</v>
      </c>
      <c r="G775">
        <v>-100</v>
      </c>
      <c r="H775" t="s">
        <v>147</v>
      </c>
      <c r="I775" t="s">
        <v>148</v>
      </c>
    </row>
    <row r="776" spans="1:9">
      <c r="A776" s="50">
        <v>45772</v>
      </c>
      <c r="B776" s="51">
        <v>0.8864236111111111</v>
      </c>
      <c r="C776" t="s">
        <v>145</v>
      </c>
      <c r="D776" t="s">
        <v>34</v>
      </c>
      <c r="E776" t="s">
        <v>47</v>
      </c>
      <c r="F776" t="s">
        <v>244</v>
      </c>
      <c r="G776">
        <v>-1500</v>
      </c>
      <c r="H776" t="s">
        <v>147</v>
      </c>
      <c r="I776" t="s">
        <v>148</v>
      </c>
    </row>
    <row r="777" spans="1:9">
      <c r="A777" s="50">
        <v>45772</v>
      </c>
      <c r="B777" s="51">
        <v>0.8077777777777778</v>
      </c>
      <c r="C777" t="s">
        <v>145</v>
      </c>
      <c r="D777" t="s">
        <v>35</v>
      </c>
      <c r="E777" t="s">
        <v>207</v>
      </c>
      <c r="F777" t="s">
        <v>208</v>
      </c>
      <c r="G777">
        <v>-3072</v>
      </c>
      <c r="H777" t="s">
        <v>147</v>
      </c>
      <c r="I777" t="s">
        <v>57</v>
      </c>
    </row>
    <row r="778" spans="1:9">
      <c r="A778" s="50">
        <v>45772</v>
      </c>
      <c r="B778" s="51">
        <v>0.8077777777777778</v>
      </c>
      <c r="C778" t="s">
        <v>145</v>
      </c>
      <c r="D778" t="s">
        <v>35</v>
      </c>
      <c r="E778" t="s">
        <v>204</v>
      </c>
      <c r="F778" t="s">
        <v>443</v>
      </c>
      <c r="G778">
        <v>-32200</v>
      </c>
      <c r="H778" t="s">
        <v>147</v>
      </c>
      <c r="I778" t="s">
        <v>57</v>
      </c>
    </row>
    <row r="779" spans="1:9">
      <c r="A779" s="50">
        <v>45772</v>
      </c>
      <c r="B779" s="51">
        <v>0.7780555555555555</v>
      </c>
      <c r="C779" t="s">
        <v>151</v>
      </c>
      <c r="D779" t="s">
        <v>198</v>
      </c>
      <c r="E779" t="s">
        <v>47</v>
      </c>
      <c r="F779" t="s">
        <v>211</v>
      </c>
      <c r="G779">
        <v>-50000</v>
      </c>
      <c r="H779" t="s">
        <v>147</v>
      </c>
      <c r="I779" t="s">
        <v>57</v>
      </c>
    </row>
    <row r="780" spans="1:9">
      <c r="A780" s="50">
        <v>45772</v>
      </c>
      <c r="B780" s="51">
        <v>0.7741550925925926</v>
      </c>
      <c r="C780" t="s">
        <v>145</v>
      </c>
      <c r="D780" t="s">
        <v>42</v>
      </c>
      <c r="E780" t="s">
        <v>47</v>
      </c>
      <c r="F780" t="s">
        <v>444</v>
      </c>
      <c r="G780">
        <v>-45000</v>
      </c>
      <c r="H780" t="s">
        <v>147</v>
      </c>
      <c r="I780" t="s">
        <v>57</v>
      </c>
    </row>
    <row r="781" spans="1:9">
      <c r="A781" s="50">
        <v>45772</v>
      </c>
      <c r="B781" s="51">
        <v>0.6955555555555556</v>
      </c>
      <c r="C781" t="s">
        <v>145</v>
      </c>
      <c r="D781" t="s">
        <v>34</v>
      </c>
      <c r="E781" t="s">
        <v>47</v>
      </c>
      <c r="F781" t="s">
        <v>146</v>
      </c>
      <c r="G781">
        <v>-1500</v>
      </c>
      <c r="H781" t="s">
        <v>147</v>
      </c>
      <c r="I781" t="s">
        <v>148</v>
      </c>
    </row>
    <row r="782" spans="1:9">
      <c r="A782" s="50">
        <v>45772</v>
      </c>
      <c r="B782" s="51">
        <v>0.4872916666666667</v>
      </c>
      <c r="C782" t="s">
        <v>145</v>
      </c>
      <c r="D782" t="s">
        <v>40</v>
      </c>
      <c r="E782" t="s">
        <v>47</v>
      </c>
      <c r="F782" t="s">
        <v>445</v>
      </c>
      <c r="G782">
        <v>-233000</v>
      </c>
      <c r="H782" t="s">
        <v>147</v>
      </c>
      <c r="I782" t="s">
        <v>148</v>
      </c>
    </row>
    <row r="783" spans="1:9">
      <c r="A783" s="50">
        <v>45772</v>
      </c>
      <c r="B783" s="51">
        <v>0.4119328703703704</v>
      </c>
      <c r="C783" t="s">
        <v>151</v>
      </c>
      <c r="D783" t="s">
        <v>151</v>
      </c>
      <c r="E783" t="s">
        <v>47</v>
      </c>
      <c r="F783" t="s">
        <v>163</v>
      </c>
      <c r="G783">
        <v>-200000</v>
      </c>
      <c r="H783" t="s">
        <v>147</v>
      </c>
      <c r="I783" t="s">
        <v>57</v>
      </c>
    </row>
    <row r="784" spans="1:9">
      <c r="A784" s="50">
        <v>45772</v>
      </c>
      <c r="B784" s="51">
        <v>0.3905439814814815</v>
      </c>
      <c r="C784" t="s">
        <v>145</v>
      </c>
      <c r="D784" t="s">
        <v>35</v>
      </c>
      <c r="E784" t="s">
        <v>47</v>
      </c>
      <c r="F784" t="s">
        <v>197</v>
      </c>
      <c r="G784">
        <v>-500000</v>
      </c>
      <c r="H784" t="s">
        <v>147</v>
      </c>
      <c r="I784" t="s">
        <v>162</v>
      </c>
    </row>
    <row r="785" spans="1:9">
      <c r="A785" s="50">
        <v>45772</v>
      </c>
      <c r="B785" s="51">
        <v>0.3905208333333333</v>
      </c>
      <c r="C785" t="s">
        <v>151</v>
      </c>
      <c r="D785" t="s">
        <v>160</v>
      </c>
      <c r="E785" t="s">
        <v>47</v>
      </c>
      <c r="F785" t="s">
        <v>163</v>
      </c>
      <c r="G785">
        <v>-493893</v>
      </c>
      <c r="H785" t="s">
        <v>147</v>
      </c>
      <c r="I785" t="s">
        <v>57</v>
      </c>
    </row>
    <row r="786" spans="1:9">
      <c r="A786" s="50">
        <v>45772</v>
      </c>
      <c r="B786" s="51">
        <v>0.3905208333333333</v>
      </c>
      <c r="C786" t="s">
        <v>151</v>
      </c>
      <c r="D786" t="s">
        <v>160</v>
      </c>
      <c r="E786" t="s">
        <v>47</v>
      </c>
      <c r="F786" t="s">
        <v>161</v>
      </c>
      <c r="G786">
        <v>493893</v>
      </c>
      <c r="H786" t="s">
        <v>147</v>
      </c>
      <c r="I786" t="s">
        <v>162</v>
      </c>
    </row>
    <row r="787" spans="1:9">
      <c r="A787" s="50">
        <v>45772</v>
      </c>
      <c r="B787" s="51">
        <v>0.3895601851851852</v>
      </c>
      <c r="C787" t="s">
        <v>151</v>
      </c>
      <c r="D787" t="s">
        <v>160</v>
      </c>
      <c r="E787" t="s">
        <v>47</v>
      </c>
      <c r="F787" t="s">
        <v>7</v>
      </c>
      <c r="G787">
        <v>-1000000</v>
      </c>
      <c r="H787" t="s">
        <v>147</v>
      </c>
      <c r="I787" t="s">
        <v>57</v>
      </c>
    </row>
    <row r="788" spans="1:9">
      <c r="A788" s="50">
        <v>45772</v>
      </c>
      <c r="B788" s="51">
        <v>0.3895601851851852</v>
      </c>
      <c r="C788" t="s">
        <v>151</v>
      </c>
      <c r="D788" t="s">
        <v>160</v>
      </c>
      <c r="E788" t="s">
        <v>47</v>
      </c>
      <c r="F788" t="s">
        <v>7</v>
      </c>
      <c r="G788">
        <v>1000000</v>
      </c>
      <c r="H788" t="s">
        <v>147</v>
      </c>
      <c r="I788" t="s">
        <v>61</v>
      </c>
    </row>
    <row r="789" spans="1:9">
      <c r="A789" s="50">
        <v>45772</v>
      </c>
      <c r="B789" s="51">
        <v>0.3656944444444444</v>
      </c>
      <c r="C789" t="s">
        <v>151</v>
      </c>
      <c r="D789" t="s">
        <v>198</v>
      </c>
      <c r="E789" t="s">
        <v>47</v>
      </c>
      <c r="F789" t="s">
        <v>213</v>
      </c>
      <c r="G789">
        <v>1683230</v>
      </c>
      <c r="H789" t="s">
        <v>147</v>
      </c>
      <c r="I789" t="s">
        <v>57</v>
      </c>
    </row>
    <row r="790" spans="1:9">
      <c r="A790" s="50">
        <v>45772</v>
      </c>
      <c r="B790" s="51">
        <v>0.3331712962962963</v>
      </c>
      <c r="C790" t="s">
        <v>145</v>
      </c>
      <c r="D790" t="s">
        <v>38</v>
      </c>
      <c r="E790" t="s">
        <v>47</v>
      </c>
      <c r="F790" t="s">
        <v>268</v>
      </c>
      <c r="G790">
        <v>-1300</v>
      </c>
      <c r="H790" t="s">
        <v>147</v>
      </c>
      <c r="I790" t="s">
        <v>148</v>
      </c>
    </row>
    <row r="791" spans="1:9">
      <c r="A791" s="50">
        <v>45772</v>
      </c>
      <c r="B791" s="51">
        <v>0.2934490740740741</v>
      </c>
      <c r="C791" t="s">
        <v>145</v>
      </c>
      <c r="D791" t="s">
        <v>34</v>
      </c>
      <c r="E791" t="s">
        <v>47</v>
      </c>
      <c r="F791" t="s">
        <v>146</v>
      </c>
      <c r="G791">
        <v>-1700</v>
      </c>
      <c r="H791" t="s">
        <v>147</v>
      </c>
      <c r="I791" t="s">
        <v>148</v>
      </c>
    </row>
    <row r="792" spans="1:9">
      <c r="A792" s="50">
        <v>45772</v>
      </c>
      <c r="B792" s="51">
        <v>0.231712962962963</v>
      </c>
      <c r="C792" t="s">
        <v>151</v>
      </c>
      <c r="D792" t="s">
        <v>198</v>
      </c>
      <c r="E792" t="s">
        <v>47</v>
      </c>
      <c r="F792" t="s">
        <v>214</v>
      </c>
      <c r="G792">
        <v>-100000</v>
      </c>
      <c r="H792" t="s">
        <v>147</v>
      </c>
      <c r="I792" t="s">
        <v>57</v>
      </c>
    </row>
    <row r="793" spans="1:9">
      <c r="A793" s="50">
        <v>45771</v>
      </c>
      <c r="B793" s="51">
        <v>0.9338657407407407</v>
      </c>
      <c r="C793" t="s">
        <v>145</v>
      </c>
      <c r="D793" t="s">
        <v>45</v>
      </c>
      <c r="E793" t="s">
        <v>47</v>
      </c>
      <c r="F793" t="s">
        <v>446</v>
      </c>
      <c r="G793">
        <v>-2800</v>
      </c>
      <c r="H793" t="s">
        <v>147</v>
      </c>
      <c r="I793" t="s">
        <v>148</v>
      </c>
    </row>
    <row r="794" spans="1:9">
      <c r="A794" s="50">
        <v>45771</v>
      </c>
      <c r="B794" s="51">
        <v>0.8621180555555555</v>
      </c>
      <c r="C794" t="s">
        <v>145</v>
      </c>
      <c r="D794" t="s">
        <v>40</v>
      </c>
      <c r="E794" t="s">
        <v>47</v>
      </c>
      <c r="F794" t="s">
        <v>447</v>
      </c>
      <c r="G794">
        <v>-82000</v>
      </c>
      <c r="H794" t="s">
        <v>147</v>
      </c>
      <c r="I794" t="s">
        <v>148</v>
      </c>
    </row>
    <row r="795" spans="1:9">
      <c r="A795" s="50">
        <v>45771</v>
      </c>
      <c r="B795" s="51">
        <v>0.8143518518518519</v>
      </c>
      <c r="C795" t="s">
        <v>145</v>
      </c>
      <c r="D795" t="s">
        <v>34</v>
      </c>
      <c r="E795" t="s">
        <v>47</v>
      </c>
      <c r="F795" t="s">
        <v>146</v>
      </c>
      <c r="G795">
        <v>-200</v>
      </c>
      <c r="H795" t="s">
        <v>147</v>
      </c>
      <c r="I795" t="s">
        <v>148</v>
      </c>
    </row>
    <row r="796" spans="1:9">
      <c r="A796" s="50">
        <v>45771</v>
      </c>
      <c r="B796" s="51">
        <v>0.8025578703703704</v>
      </c>
      <c r="C796" t="s">
        <v>145</v>
      </c>
      <c r="D796" t="s">
        <v>34</v>
      </c>
      <c r="E796" t="s">
        <v>47</v>
      </c>
      <c r="F796" t="s">
        <v>244</v>
      </c>
      <c r="G796">
        <v>-1500</v>
      </c>
      <c r="H796" t="s">
        <v>147</v>
      </c>
      <c r="I796" t="s">
        <v>148</v>
      </c>
    </row>
    <row r="797" spans="1:9">
      <c r="A797" s="50">
        <v>45771</v>
      </c>
      <c r="B797" s="51">
        <v>0.7779282407407407</v>
      </c>
      <c r="C797" t="s">
        <v>151</v>
      </c>
      <c r="D797" t="s">
        <v>160</v>
      </c>
      <c r="E797" t="s">
        <v>47</v>
      </c>
      <c r="F797" t="s">
        <v>7</v>
      </c>
      <c r="G797">
        <v>500000</v>
      </c>
      <c r="H797" t="s">
        <v>147</v>
      </c>
      <c r="I797" t="s">
        <v>57</v>
      </c>
    </row>
    <row r="798" spans="1:9">
      <c r="A798" s="50">
        <v>45771</v>
      </c>
      <c r="B798" s="51">
        <v>0.7779282407407407</v>
      </c>
      <c r="C798" t="s">
        <v>151</v>
      </c>
      <c r="D798" t="s">
        <v>160</v>
      </c>
      <c r="E798" t="s">
        <v>47</v>
      </c>
      <c r="F798" t="s">
        <v>7</v>
      </c>
      <c r="G798">
        <v>-500000</v>
      </c>
      <c r="H798" t="s">
        <v>147</v>
      </c>
      <c r="I798" t="s">
        <v>61</v>
      </c>
    </row>
    <row r="799" spans="1:9">
      <c r="A799" s="50">
        <v>45771</v>
      </c>
      <c r="B799" s="51">
        <v>0.7370833333333333</v>
      </c>
      <c r="C799" t="s">
        <v>145</v>
      </c>
      <c r="D799" t="s">
        <v>34</v>
      </c>
      <c r="E799" t="s">
        <v>47</v>
      </c>
      <c r="F799" t="s">
        <v>244</v>
      </c>
      <c r="G799">
        <v>-1500</v>
      </c>
      <c r="H799" t="s">
        <v>147</v>
      </c>
      <c r="I799" t="s">
        <v>148</v>
      </c>
    </row>
    <row r="800" spans="1:9">
      <c r="A800" s="50">
        <v>45771</v>
      </c>
      <c r="B800" s="51">
        <v>0.3758101851851852</v>
      </c>
      <c r="C800" t="s">
        <v>145</v>
      </c>
      <c r="D800" t="s">
        <v>42</v>
      </c>
      <c r="E800" t="s">
        <v>47</v>
      </c>
      <c r="F800" t="s">
        <v>153</v>
      </c>
      <c r="G800">
        <v>-3900</v>
      </c>
      <c r="H800" t="s">
        <v>147</v>
      </c>
      <c r="I800" t="s">
        <v>154</v>
      </c>
    </row>
    <row r="801" spans="1:9">
      <c r="A801" s="50">
        <v>45771</v>
      </c>
      <c r="B801" s="51">
        <v>0.3758101851851852</v>
      </c>
      <c r="C801" t="s">
        <v>151</v>
      </c>
      <c r="D801" t="s">
        <v>160</v>
      </c>
      <c r="E801" t="s">
        <v>47</v>
      </c>
      <c r="F801" t="s">
        <v>163</v>
      </c>
      <c r="G801">
        <v>-10000</v>
      </c>
      <c r="H801" t="s">
        <v>147</v>
      </c>
      <c r="I801" t="s">
        <v>57</v>
      </c>
    </row>
    <row r="802" spans="1:9">
      <c r="A802" s="50">
        <v>45771</v>
      </c>
      <c r="B802" s="51">
        <v>0.3758101851851852</v>
      </c>
      <c r="C802" t="s">
        <v>151</v>
      </c>
      <c r="D802" t="s">
        <v>160</v>
      </c>
      <c r="E802" t="s">
        <v>47</v>
      </c>
      <c r="F802" t="s">
        <v>161</v>
      </c>
      <c r="G802">
        <v>10000</v>
      </c>
      <c r="H802" t="s">
        <v>147</v>
      </c>
      <c r="I802" t="s">
        <v>162</v>
      </c>
    </row>
    <row r="803" spans="1:9">
      <c r="A803" s="50">
        <v>45771</v>
      </c>
      <c r="B803" s="51">
        <v>0.2882986111111111</v>
      </c>
      <c r="C803" t="s">
        <v>145</v>
      </c>
      <c r="D803" t="s">
        <v>34</v>
      </c>
      <c r="E803" t="s">
        <v>47</v>
      </c>
      <c r="F803" t="s">
        <v>146</v>
      </c>
      <c r="G803">
        <v>-1700</v>
      </c>
      <c r="H803" t="s">
        <v>147</v>
      </c>
      <c r="I803" t="s">
        <v>148</v>
      </c>
    </row>
    <row r="804" spans="1:9">
      <c r="A804" s="50">
        <v>45770</v>
      </c>
      <c r="B804" s="51">
        <v>0.8504282407407407</v>
      </c>
      <c r="C804" t="s">
        <v>145</v>
      </c>
      <c r="D804" t="s">
        <v>38</v>
      </c>
      <c r="E804" t="s">
        <v>47</v>
      </c>
      <c r="F804" t="s">
        <v>155</v>
      </c>
      <c r="G804">
        <v>-5400</v>
      </c>
      <c r="H804" t="s">
        <v>147</v>
      </c>
      <c r="I804" t="s">
        <v>148</v>
      </c>
    </row>
    <row r="805" spans="1:9">
      <c r="A805" s="50">
        <v>45769</v>
      </c>
      <c r="B805" s="51">
        <v>0.7097685185185185</v>
      </c>
      <c r="C805" t="s">
        <v>145</v>
      </c>
      <c r="D805" t="s">
        <v>45</v>
      </c>
      <c r="E805" t="s">
        <v>47</v>
      </c>
      <c r="F805" t="s">
        <v>389</v>
      </c>
      <c r="G805">
        <v>-3200</v>
      </c>
      <c r="H805" t="s">
        <v>147</v>
      </c>
      <c r="I805" t="s">
        <v>165</v>
      </c>
    </row>
    <row r="806" spans="1:9">
      <c r="A806" s="50">
        <v>45769</v>
      </c>
      <c r="B806" s="51">
        <v>0.7065972222222222</v>
      </c>
      <c r="C806" t="s">
        <v>145</v>
      </c>
      <c r="D806" t="s">
        <v>38</v>
      </c>
      <c r="E806" t="s">
        <v>47</v>
      </c>
      <c r="F806" t="s">
        <v>203</v>
      </c>
      <c r="G806">
        <v>-18230</v>
      </c>
      <c r="H806" t="s">
        <v>147</v>
      </c>
      <c r="I806" t="s">
        <v>165</v>
      </c>
    </row>
    <row r="807" spans="1:9">
      <c r="A807" s="50">
        <v>45769</v>
      </c>
      <c r="B807" s="51">
        <v>0.5483796296296296</v>
      </c>
      <c r="C807" t="s">
        <v>145</v>
      </c>
      <c r="D807" t="s">
        <v>34</v>
      </c>
      <c r="E807" t="s">
        <v>47</v>
      </c>
      <c r="F807" t="s">
        <v>244</v>
      </c>
      <c r="G807">
        <v>-1500</v>
      </c>
      <c r="H807" t="s">
        <v>147</v>
      </c>
      <c r="I807" t="s">
        <v>148</v>
      </c>
    </row>
    <row r="808" spans="1:9">
      <c r="A808" s="50">
        <v>45769</v>
      </c>
      <c r="B808" s="51">
        <v>0.4739699074074074</v>
      </c>
      <c r="C808" t="s">
        <v>145</v>
      </c>
      <c r="D808" t="s">
        <v>34</v>
      </c>
      <c r="E808" t="s">
        <v>47</v>
      </c>
      <c r="F808" t="s">
        <v>244</v>
      </c>
      <c r="G808">
        <v>-100</v>
      </c>
      <c r="H808" t="s">
        <v>147</v>
      </c>
      <c r="I808" t="s">
        <v>148</v>
      </c>
    </row>
    <row r="809" spans="1:9">
      <c r="A809" s="50">
        <v>45769</v>
      </c>
      <c r="B809" s="51">
        <v>0.4490509259259259</v>
      </c>
      <c r="C809" t="s">
        <v>145</v>
      </c>
      <c r="D809" t="s">
        <v>34</v>
      </c>
      <c r="E809" t="s">
        <v>47</v>
      </c>
      <c r="F809" t="s">
        <v>146</v>
      </c>
      <c r="G809">
        <v>-1600</v>
      </c>
      <c r="H809" t="s">
        <v>147</v>
      </c>
      <c r="I809" t="s">
        <v>148</v>
      </c>
    </row>
    <row r="810" spans="1:9">
      <c r="A810" s="50">
        <v>45768</v>
      </c>
      <c r="B810" s="51">
        <v>0.8285763888888888</v>
      </c>
      <c r="C810" t="s">
        <v>145</v>
      </c>
      <c r="D810" t="s">
        <v>34</v>
      </c>
      <c r="E810" t="s">
        <v>47</v>
      </c>
      <c r="F810" t="s">
        <v>146</v>
      </c>
      <c r="G810">
        <v>-1500</v>
      </c>
      <c r="H810" t="s">
        <v>147</v>
      </c>
      <c r="I810" t="s">
        <v>148</v>
      </c>
    </row>
    <row r="811" spans="1:9">
      <c r="A811" s="50">
        <v>45768</v>
      </c>
      <c r="B811" s="51">
        <v>0.8088425925925926</v>
      </c>
      <c r="C811" t="s">
        <v>145</v>
      </c>
      <c r="D811" t="s">
        <v>45</v>
      </c>
      <c r="E811" t="s">
        <v>47</v>
      </c>
      <c r="F811" t="s">
        <v>389</v>
      </c>
      <c r="G811">
        <v>-1200</v>
      </c>
      <c r="H811" t="s">
        <v>147</v>
      </c>
      <c r="I811" t="s">
        <v>165</v>
      </c>
    </row>
    <row r="812" spans="1:9">
      <c r="A812" s="50">
        <v>45768</v>
      </c>
      <c r="B812" s="51">
        <v>0.8055555555555556</v>
      </c>
      <c r="C812" t="s">
        <v>145</v>
      </c>
      <c r="D812" t="s">
        <v>40</v>
      </c>
      <c r="E812" t="s">
        <v>47</v>
      </c>
      <c r="F812" t="s">
        <v>390</v>
      </c>
      <c r="G812">
        <v>-51000</v>
      </c>
      <c r="H812" t="s">
        <v>147</v>
      </c>
      <c r="I812" t="s">
        <v>165</v>
      </c>
    </row>
    <row r="813" spans="1:9">
      <c r="A813" s="50">
        <v>45768</v>
      </c>
      <c r="B813" s="51">
        <v>0.7683564814814815</v>
      </c>
      <c r="C813" t="s">
        <v>145</v>
      </c>
      <c r="D813" t="s">
        <v>44</v>
      </c>
      <c r="E813" t="s">
        <v>220</v>
      </c>
      <c r="F813" t="s">
        <v>221</v>
      </c>
      <c r="G813">
        <v>-82120</v>
      </c>
      <c r="H813" t="s">
        <v>147</v>
      </c>
      <c r="I813" t="s">
        <v>57</v>
      </c>
    </row>
    <row r="814" spans="1:9">
      <c r="A814" s="50">
        <v>45768</v>
      </c>
      <c r="B814" s="51">
        <v>0.6647685185185185</v>
      </c>
      <c r="C814" t="s">
        <v>145</v>
      </c>
      <c r="D814" t="s">
        <v>34</v>
      </c>
      <c r="E814" t="s">
        <v>47</v>
      </c>
      <c r="F814" t="s">
        <v>146</v>
      </c>
      <c r="G814">
        <v>-1500</v>
      </c>
      <c r="H814" t="s">
        <v>147</v>
      </c>
      <c r="I814" t="s">
        <v>148</v>
      </c>
    </row>
    <row r="815" spans="1:9">
      <c r="A815" s="50">
        <v>45768</v>
      </c>
      <c r="B815" s="51">
        <v>0.5607523148148148</v>
      </c>
      <c r="C815" t="s">
        <v>149</v>
      </c>
      <c r="D815" t="s">
        <v>29</v>
      </c>
      <c r="E815" t="s">
        <v>47</v>
      </c>
      <c r="F815" t="s">
        <v>448</v>
      </c>
      <c r="G815">
        <v>14948</v>
      </c>
      <c r="H815" t="s">
        <v>147</v>
      </c>
      <c r="I815" t="s">
        <v>57</v>
      </c>
    </row>
    <row r="816" spans="1:9">
      <c r="A816" s="50">
        <v>45768</v>
      </c>
      <c r="B816" s="51">
        <v>0.5593287037037037</v>
      </c>
      <c r="C816" t="s">
        <v>145</v>
      </c>
      <c r="D816" t="s">
        <v>45</v>
      </c>
      <c r="E816" t="s">
        <v>47</v>
      </c>
      <c r="F816" t="s">
        <v>449</v>
      </c>
      <c r="G816">
        <v>-10000</v>
      </c>
      <c r="H816" t="s">
        <v>147</v>
      </c>
      <c r="I816" t="s">
        <v>148</v>
      </c>
    </row>
    <row r="817" spans="1:9">
      <c r="A817" s="50">
        <v>45768</v>
      </c>
      <c r="B817" s="51">
        <v>0.4929629629629629</v>
      </c>
      <c r="C817" t="s">
        <v>145</v>
      </c>
      <c r="D817" t="s">
        <v>37</v>
      </c>
      <c r="E817" t="s">
        <v>47</v>
      </c>
      <c r="F817" t="s">
        <v>433</v>
      </c>
      <c r="G817">
        <v>-203500</v>
      </c>
      <c r="H817" t="s">
        <v>147</v>
      </c>
      <c r="I817" t="s">
        <v>148</v>
      </c>
    </row>
    <row r="818" spans="1:9">
      <c r="A818" s="50">
        <v>45768</v>
      </c>
      <c r="B818" s="51">
        <v>0.4925810185185185</v>
      </c>
      <c r="C818" t="s">
        <v>151</v>
      </c>
      <c r="D818" t="s">
        <v>160</v>
      </c>
      <c r="E818" t="s">
        <v>47</v>
      </c>
      <c r="F818" t="s">
        <v>7</v>
      </c>
      <c r="G818">
        <v>200000</v>
      </c>
      <c r="H818" t="s">
        <v>147</v>
      </c>
      <c r="I818" t="s">
        <v>57</v>
      </c>
    </row>
    <row r="819" spans="1:9">
      <c r="A819" s="50">
        <v>45768</v>
      </c>
      <c r="B819" s="51">
        <v>0.4925810185185185</v>
      </c>
      <c r="C819" t="s">
        <v>151</v>
      </c>
      <c r="D819" t="s">
        <v>160</v>
      </c>
      <c r="E819" t="s">
        <v>47</v>
      </c>
      <c r="F819" t="s">
        <v>7</v>
      </c>
      <c r="G819">
        <v>-200000</v>
      </c>
      <c r="H819" t="s">
        <v>147</v>
      </c>
      <c r="I819" t="s">
        <v>61</v>
      </c>
    </row>
    <row r="820" spans="1:9">
      <c r="A820" s="50">
        <v>45767</v>
      </c>
      <c r="B820" s="51">
        <v>0.9198495370370371</v>
      </c>
      <c r="C820" t="s">
        <v>145</v>
      </c>
      <c r="D820" t="s">
        <v>42</v>
      </c>
      <c r="E820" t="s">
        <v>47</v>
      </c>
      <c r="F820" t="s">
        <v>153</v>
      </c>
      <c r="G820">
        <v>-36500</v>
      </c>
      <c r="H820" t="s">
        <v>147</v>
      </c>
      <c r="I820" t="s">
        <v>154</v>
      </c>
    </row>
    <row r="821" spans="1:9">
      <c r="A821" s="50">
        <v>45767</v>
      </c>
      <c r="B821" s="51">
        <v>0.8363310185185185</v>
      </c>
      <c r="C821" t="s">
        <v>145</v>
      </c>
      <c r="D821" t="s">
        <v>35</v>
      </c>
      <c r="E821" t="s">
        <v>47</v>
      </c>
      <c r="F821" t="s">
        <v>197</v>
      </c>
      <c r="G821">
        <v>-71700</v>
      </c>
      <c r="H821" t="s">
        <v>147</v>
      </c>
      <c r="I821" t="s">
        <v>162</v>
      </c>
    </row>
    <row r="822" spans="1:9">
      <c r="A822" s="50">
        <v>45767</v>
      </c>
      <c r="B822" s="51">
        <v>0.8363194444444444</v>
      </c>
      <c r="C822" t="s">
        <v>151</v>
      </c>
      <c r="D822" t="s">
        <v>160</v>
      </c>
      <c r="E822" t="s">
        <v>47</v>
      </c>
      <c r="F822" t="s">
        <v>163</v>
      </c>
      <c r="G822">
        <v>-62382</v>
      </c>
      <c r="H822" t="s">
        <v>147</v>
      </c>
      <c r="I822" t="s">
        <v>57</v>
      </c>
    </row>
    <row r="823" spans="1:9">
      <c r="A823" s="50">
        <v>45767</v>
      </c>
      <c r="B823" s="51">
        <v>0.8363194444444444</v>
      </c>
      <c r="C823" t="s">
        <v>151</v>
      </c>
      <c r="D823" t="s">
        <v>160</v>
      </c>
      <c r="E823" t="s">
        <v>47</v>
      </c>
      <c r="F823" t="s">
        <v>161</v>
      </c>
      <c r="G823">
        <v>62382</v>
      </c>
      <c r="H823" t="s">
        <v>147</v>
      </c>
      <c r="I823" t="s">
        <v>162</v>
      </c>
    </row>
    <row r="824" spans="1:9">
      <c r="A824" s="50">
        <v>45767</v>
      </c>
      <c r="B824" s="51">
        <v>0.7643171296296296</v>
      </c>
      <c r="C824" t="s">
        <v>145</v>
      </c>
      <c r="D824" t="s">
        <v>40</v>
      </c>
      <c r="E824" t="s">
        <v>47</v>
      </c>
      <c r="F824" t="s">
        <v>450</v>
      </c>
      <c r="G824">
        <v>-161000</v>
      </c>
      <c r="H824" t="s">
        <v>147</v>
      </c>
      <c r="I824" t="s">
        <v>165</v>
      </c>
    </row>
    <row r="825" spans="1:9">
      <c r="A825" s="50">
        <v>45766</v>
      </c>
      <c r="B825" s="51">
        <v>0.9728703703703704</v>
      </c>
      <c r="C825" t="s">
        <v>145</v>
      </c>
      <c r="D825" t="s">
        <v>34</v>
      </c>
      <c r="E825" t="s">
        <v>47</v>
      </c>
      <c r="F825" t="s">
        <v>244</v>
      </c>
      <c r="G825">
        <v>-1500</v>
      </c>
      <c r="H825" t="s">
        <v>147</v>
      </c>
      <c r="I825" t="s">
        <v>148</v>
      </c>
    </row>
    <row r="826" spans="1:9">
      <c r="A826" s="50">
        <v>45766</v>
      </c>
      <c r="B826" s="51">
        <v>0.7327546296296297</v>
      </c>
      <c r="C826" t="s">
        <v>145</v>
      </c>
      <c r="D826" t="s">
        <v>34</v>
      </c>
      <c r="E826" t="s">
        <v>47</v>
      </c>
      <c r="F826" t="s">
        <v>146</v>
      </c>
      <c r="G826">
        <v>-1900</v>
      </c>
      <c r="H826" t="s">
        <v>147</v>
      </c>
      <c r="I826" t="s">
        <v>148</v>
      </c>
    </row>
    <row r="827" spans="1:9">
      <c r="A827" s="50">
        <v>45766</v>
      </c>
      <c r="B827" s="51">
        <v>0.6249074074074074</v>
      </c>
      <c r="C827" t="s">
        <v>145</v>
      </c>
      <c r="D827" t="s">
        <v>45</v>
      </c>
      <c r="E827" t="s">
        <v>47</v>
      </c>
      <c r="F827" t="s">
        <v>451</v>
      </c>
      <c r="G827">
        <v>-9500</v>
      </c>
      <c r="H827" t="s">
        <v>147</v>
      </c>
      <c r="I827" t="s">
        <v>165</v>
      </c>
    </row>
    <row r="828" spans="1:9">
      <c r="A828" s="50">
        <v>45766</v>
      </c>
      <c r="B828" s="51">
        <v>0.6244907407407407</v>
      </c>
      <c r="C828" t="s">
        <v>145</v>
      </c>
      <c r="D828" t="s">
        <v>45</v>
      </c>
      <c r="E828" t="s">
        <v>47</v>
      </c>
      <c r="F828" t="s">
        <v>451</v>
      </c>
      <c r="G828">
        <v>-31500</v>
      </c>
      <c r="H828" t="s">
        <v>147</v>
      </c>
      <c r="I828" t="s">
        <v>165</v>
      </c>
    </row>
    <row r="829" spans="1:9">
      <c r="A829" s="50">
        <v>45766</v>
      </c>
      <c r="B829" s="51">
        <v>0.3067476851851852</v>
      </c>
      <c r="C829" t="s">
        <v>145</v>
      </c>
      <c r="D829" t="s">
        <v>34</v>
      </c>
      <c r="E829" t="s">
        <v>47</v>
      </c>
      <c r="F829" t="s">
        <v>146</v>
      </c>
      <c r="G829">
        <v>-1700</v>
      </c>
      <c r="H829" t="s">
        <v>147</v>
      </c>
      <c r="I829" t="s">
        <v>148</v>
      </c>
    </row>
    <row r="830" spans="1:9">
      <c r="A830" s="50">
        <v>45765</v>
      </c>
      <c r="B830" s="51">
        <v>0.9909143518518518</v>
      </c>
      <c r="C830" t="s">
        <v>145</v>
      </c>
      <c r="D830" t="s">
        <v>45</v>
      </c>
      <c r="E830" t="s">
        <v>47</v>
      </c>
      <c r="F830" t="s">
        <v>389</v>
      </c>
      <c r="G830">
        <v>-1200</v>
      </c>
      <c r="H830" t="s">
        <v>147</v>
      </c>
      <c r="I830" t="s">
        <v>165</v>
      </c>
    </row>
    <row r="831" spans="1:9">
      <c r="A831" s="50">
        <v>45765</v>
      </c>
      <c r="B831" s="51">
        <v>0.8001736111111111</v>
      </c>
      <c r="C831" t="s">
        <v>145</v>
      </c>
      <c r="D831" t="s">
        <v>35</v>
      </c>
      <c r="E831" t="s">
        <v>207</v>
      </c>
      <c r="F831" t="s">
        <v>452</v>
      </c>
      <c r="G831">
        <v>-6900</v>
      </c>
      <c r="H831" t="s">
        <v>147</v>
      </c>
      <c r="I831" t="s">
        <v>148</v>
      </c>
    </row>
    <row r="832" spans="1:9">
      <c r="A832" s="50">
        <v>45765</v>
      </c>
      <c r="B832" s="51">
        <v>0.798599537037037</v>
      </c>
      <c r="C832" t="s">
        <v>145</v>
      </c>
      <c r="D832" t="s">
        <v>38</v>
      </c>
      <c r="E832" t="s">
        <v>47</v>
      </c>
      <c r="F832" t="s">
        <v>453</v>
      </c>
      <c r="G832">
        <v>-6400</v>
      </c>
      <c r="H832" t="s">
        <v>147</v>
      </c>
      <c r="I832" t="s">
        <v>148</v>
      </c>
    </row>
    <row r="833" spans="1:9">
      <c r="A833" s="50">
        <v>45765</v>
      </c>
      <c r="B833" s="51">
        <v>0.7637037037037037</v>
      </c>
      <c r="C833" t="s">
        <v>145</v>
      </c>
      <c r="D833" t="s">
        <v>34</v>
      </c>
      <c r="E833" t="s">
        <v>47</v>
      </c>
      <c r="F833" t="s">
        <v>244</v>
      </c>
      <c r="G833">
        <v>-100</v>
      </c>
      <c r="H833" t="s">
        <v>147</v>
      </c>
      <c r="I833" t="s">
        <v>148</v>
      </c>
    </row>
    <row r="834" spans="1:9">
      <c r="A834" s="50">
        <v>45765</v>
      </c>
      <c r="B834" s="51">
        <v>0.7372337962962963</v>
      </c>
      <c r="C834" t="s">
        <v>145</v>
      </c>
      <c r="D834" t="s">
        <v>34</v>
      </c>
      <c r="E834" t="s">
        <v>47</v>
      </c>
      <c r="F834" t="s">
        <v>146</v>
      </c>
      <c r="G834">
        <v>-1500</v>
      </c>
      <c r="H834" t="s">
        <v>147</v>
      </c>
      <c r="I834" t="s">
        <v>148</v>
      </c>
    </row>
    <row r="835" spans="1:9">
      <c r="A835" s="50">
        <v>45765</v>
      </c>
      <c r="B835" s="51">
        <v>0.2889930555555555</v>
      </c>
      <c r="C835" t="s">
        <v>145</v>
      </c>
      <c r="D835" t="s">
        <v>34</v>
      </c>
      <c r="E835" t="s">
        <v>47</v>
      </c>
      <c r="F835" t="s">
        <v>146</v>
      </c>
      <c r="G835">
        <v>-1700</v>
      </c>
      <c r="H835" t="s">
        <v>147</v>
      </c>
      <c r="I835" t="s">
        <v>148</v>
      </c>
    </row>
    <row r="836" spans="1:9">
      <c r="A836" s="50">
        <v>45764</v>
      </c>
      <c r="B836" s="51">
        <v>0.8777083333333333</v>
      </c>
      <c r="C836" t="s">
        <v>145</v>
      </c>
      <c r="D836" t="s">
        <v>41</v>
      </c>
      <c r="E836" t="s">
        <v>47</v>
      </c>
      <c r="F836" t="s">
        <v>454</v>
      </c>
      <c r="G836">
        <v>-8000</v>
      </c>
      <c r="H836" t="s">
        <v>147</v>
      </c>
      <c r="I836" t="s">
        <v>148</v>
      </c>
    </row>
    <row r="837" spans="1:9">
      <c r="A837" s="50">
        <v>45764</v>
      </c>
      <c r="B837" s="51">
        <v>0.8751851851851852</v>
      </c>
      <c r="C837" t="s">
        <v>145</v>
      </c>
      <c r="D837" t="s">
        <v>39</v>
      </c>
      <c r="E837" t="s">
        <v>47</v>
      </c>
      <c r="F837" t="s">
        <v>455</v>
      </c>
      <c r="G837">
        <v>-211000</v>
      </c>
      <c r="H837" t="s">
        <v>147</v>
      </c>
      <c r="I837" t="s">
        <v>148</v>
      </c>
    </row>
    <row r="838" spans="1:9">
      <c r="A838" s="50">
        <v>45764</v>
      </c>
      <c r="B838" s="51">
        <v>0.8227430555555556</v>
      </c>
      <c r="C838" t="s">
        <v>151</v>
      </c>
      <c r="D838" t="s">
        <v>160</v>
      </c>
      <c r="E838" t="s">
        <v>47</v>
      </c>
      <c r="F838" t="s">
        <v>7</v>
      </c>
      <c r="G838">
        <v>200000</v>
      </c>
      <c r="H838" t="s">
        <v>147</v>
      </c>
      <c r="I838" t="s">
        <v>57</v>
      </c>
    </row>
    <row r="839" spans="1:9">
      <c r="A839" s="50">
        <v>45764</v>
      </c>
      <c r="B839" s="51">
        <v>0.8227430555555556</v>
      </c>
      <c r="C839" t="s">
        <v>151</v>
      </c>
      <c r="D839" t="s">
        <v>160</v>
      </c>
      <c r="E839" t="s">
        <v>47</v>
      </c>
      <c r="F839" t="s">
        <v>7</v>
      </c>
      <c r="G839">
        <v>-200000</v>
      </c>
      <c r="H839" t="s">
        <v>147</v>
      </c>
      <c r="I839" t="s">
        <v>61</v>
      </c>
    </row>
    <row r="840" spans="1:9">
      <c r="A840" s="50">
        <v>45764</v>
      </c>
      <c r="B840" s="51">
        <v>0.4535416666666667</v>
      </c>
      <c r="C840" t="s">
        <v>145</v>
      </c>
      <c r="D840" t="s">
        <v>42</v>
      </c>
      <c r="E840" t="s">
        <v>47</v>
      </c>
      <c r="F840" t="s">
        <v>223</v>
      </c>
      <c r="G840">
        <v>-7890</v>
      </c>
      <c r="H840" t="s">
        <v>147</v>
      </c>
      <c r="I840" t="s">
        <v>148</v>
      </c>
    </row>
    <row r="841" spans="1:9">
      <c r="A841" s="50">
        <v>45764</v>
      </c>
      <c r="B841" s="51">
        <v>0.2933796296296297</v>
      </c>
      <c r="C841" t="s">
        <v>145</v>
      </c>
      <c r="D841" t="s">
        <v>34</v>
      </c>
      <c r="E841" t="s">
        <v>47</v>
      </c>
      <c r="F841" t="s">
        <v>146</v>
      </c>
      <c r="G841">
        <v>-1700</v>
      </c>
      <c r="H841" t="s">
        <v>147</v>
      </c>
      <c r="I841" t="s">
        <v>148</v>
      </c>
    </row>
    <row r="842" spans="1:9">
      <c r="A842" s="50">
        <v>45763</v>
      </c>
      <c r="B842" s="51">
        <v>0.8715162037037038</v>
      </c>
      <c r="C842" t="s">
        <v>145</v>
      </c>
      <c r="D842" t="s">
        <v>36</v>
      </c>
      <c r="E842" t="s">
        <v>47</v>
      </c>
      <c r="F842" t="s">
        <v>456</v>
      </c>
      <c r="G842">
        <v>-190000</v>
      </c>
      <c r="H842" t="s">
        <v>147</v>
      </c>
      <c r="I842" t="s">
        <v>165</v>
      </c>
    </row>
    <row r="843" spans="1:9">
      <c r="A843" s="50">
        <v>45763</v>
      </c>
      <c r="B843" s="51">
        <v>0.8105555555555556</v>
      </c>
      <c r="C843" t="s">
        <v>145</v>
      </c>
      <c r="D843" t="s">
        <v>34</v>
      </c>
      <c r="E843" t="s">
        <v>47</v>
      </c>
      <c r="F843" t="s">
        <v>146</v>
      </c>
      <c r="G843">
        <v>-200</v>
      </c>
      <c r="H843" t="s">
        <v>147</v>
      </c>
      <c r="I843" t="s">
        <v>148</v>
      </c>
    </row>
    <row r="844" spans="1:9">
      <c r="A844" s="50">
        <v>45763</v>
      </c>
      <c r="B844" s="51">
        <v>0.7964814814814815</v>
      </c>
      <c r="C844" t="s">
        <v>145</v>
      </c>
      <c r="D844" t="s">
        <v>34</v>
      </c>
      <c r="E844" t="s">
        <v>47</v>
      </c>
      <c r="F844" t="s">
        <v>244</v>
      </c>
      <c r="G844">
        <v>-1500</v>
      </c>
      <c r="H844" t="s">
        <v>147</v>
      </c>
      <c r="I844" t="s">
        <v>148</v>
      </c>
    </row>
    <row r="845" spans="1:9">
      <c r="A845" s="50">
        <v>45763</v>
      </c>
      <c r="B845" s="51">
        <v>0.7220138888888888</v>
      </c>
      <c r="C845" t="s">
        <v>145</v>
      </c>
      <c r="D845" t="s">
        <v>34</v>
      </c>
      <c r="E845" t="s">
        <v>47</v>
      </c>
      <c r="F845" t="s">
        <v>244</v>
      </c>
      <c r="G845">
        <v>-300</v>
      </c>
      <c r="H845" t="s">
        <v>147</v>
      </c>
      <c r="I845" t="s">
        <v>148</v>
      </c>
    </row>
    <row r="846" spans="1:9">
      <c r="A846" s="50">
        <v>45763</v>
      </c>
      <c r="B846" s="51">
        <v>0.7150810185185185</v>
      </c>
      <c r="C846" t="s">
        <v>145</v>
      </c>
      <c r="D846" t="s">
        <v>34</v>
      </c>
      <c r="E846" t="s">
        <v>47</v>
      </c>
      <c r="F846" t="s">
        <v>244</v>
      </c>
      <c r="G846">
        <v>-1200</v>
      </c>
      <c r="H846" t="s">
        <v>147</v>
      </c>
      <c r="I846" t="s">
        <v>148</v>
      </c>
    </row>
    <row r="847" spans="1:9">
      <c r="A847" s="50">
        <v>45763</v>
      </c>
      <c r="B847" s="51">
        <v>0.5625231481481482</v>
      </c>
      <c r="C847" t="s">
        <v>145</v>
      </c>
      <c r="D847" t="s">
        <v>42</v>
      </c>
      <c r="E847" t="s">
        <v>47</v>
      </c>
      <c r="F847" t="s">
        <v>224</v>
      </c>
      <c r="G847">
        <v>-14900</v>
      </c>
      <c r="H847" t="s">
        <v>147</v>
      </c>
      <c r="I847" t="s">
        <v>154</v>
      </c>
    </row>
    <row r="848" spans="1:9">
      <c r="A848" s="50">
        <v>45763</v>
      </c>
      <c r="B848" s="51">
        <v>0.5625231481481482</v>
      </c>
      <c r="C848" t="s">
        <v>151</v>
      </c>
      <c r="D848" t="s">
        <v>160</v>
      </c>
      <c r="E848" t="s">
        <v>47</v>
      </c>
      <c r="F848" t="s">
        <v>163</v>
      </c>
      <c r="G848">
        <v>-10000</v>
      </c>
      <c r="H848" t="s">
        <v>147</v>
      </c>
      <c r="I848" t="s">
        <v>57</v>
      </c>
    </row>
    <row r="849" spans="1:9">
      <c r="A849" s="50">
        <v>45763</v>
      </c>
      <c r="B849" s="51">
        <v>0.5625231481481482</v>
      </c>
      <c r="C849" t="s">
        <v>151</v>
      </c>
      <c r="D849" t="s">
        <v>160</v>
      </c>
      <c r="E849" t="s">
        <v>47</v>
      </c>
      <c r="F849" t="s">
        <v>161</v>
      </c>
      <c r="G849">
        <v>10000</v>
      </c>
      <c r="H849" t="s">
        <v>147</v>
      </c>
      <c r="I849" t="s">
        <v>162</v>
      </c>
    </row>
    <row r="850" spans="1:9">
      <c r="A850" s="50">
        <v>45763</v>
      </c>
      <c r="B850" s="51">
        <v>0.3236921296296296</v>
      </c>
      <c r="C850" t="s">
        <v>151</v>
      </c>
      <c r="D850" t="s">
        <v>160</v>
      </c>
      <c r="E850" t="s">
        <v>47</v>
      </c>
      <c r="F850" t="s">
        <v>7</v>
      </c>
      <c r="G850">
        <v>-300000</v>
      </c>
      <c r="H850" t="s">
        <v>147</v>
      </c>
      <c r="I850" t="s">
        <v>61</v>
      </c>
    </row>
    <row r="851" spans="1:9">
      <c r="A851" s="50">
        <v>45763</v>
      </c>
      <c r="B851" s="51">
        <v>0.3236921296296296</v>
      </c>
      <c r="C851" t="s">
        <v>151</v>
      </c>
      <c r="D851" t="s">
        <v>160</v>
      </c>
      <c r="E851" t="s">
        <v>47</v>
      </c>
      <c r="F851" t="s">
        <v>7</v>
      </c>
      <c r="G851">
        <v>300000</v>
      </c>
      <c r="H851" t="s">
        <v>147</v>
      </c>
      <c r="I851" t="s">
        <v>57</v>
      </c>
    </row>
    <row r="852" spans="1:9">
      <c r="A852" s="50">
        <v>45763</v>
      </c>
      <c r="B852" s="51">
        <v>0.2954398148148148</v>
      </c>
      <c r="C852" t="s">
        <v>145</v>
      </c>
      <c r="D852" t="s">
        <v>34</v>
      </c>
      <c r="E852" t="s">
        <v>47</v>
      </c>
      <c r="F852" t="s">
        <v>146</v>
      </c>
      <c r="G852">
        <v>-1700</v>
      </c>
      <c r="H852" t="s">
        <v>147</v>
      </c>
      <c r="I852" t="s">
        <v>148</v>
      </c>
    </row>
    <row r="853" spans="1:9">
      <c r="A853" s="50">
        <v>45762</v>
      </c>
      <c r="B853" s="51">
        <v>0.04711805555555556</v>
      </c>
      <c r="C853" t="s">
        <v>145</v>
      </c>
      <c r="D853" t="s">
        <v>42</v>
      </c>
      <c r="E853" t="s">
        <v>47</v>
      </c>
      <c r="F853" t="s">
        <v>225</v>
      </c>
      <c r="G853">
        <v>-1990</v>
      </c>
      <c r="H853" t="s">
        <v>147</v>
      </c>
      <c r="I853" t="s">
        <v>154</v>
      </c>
    </row>
    <row r="854" spans="1:9">
      <c r="A854" s="50">
        <v>45761</v>
      </c>
      <c r="B854" s="51">
        <v>0.7551157407407407</v>
      </c>
      <c r="C854" t="s">
        <v>145</v>
      </c>
      <c r="D854" t="s">
        <v>42</v>
      </c>
      <c r="E854" t="s">
        <v>47</v>
      </c>
      <c r="F854" t="s">
        <v>153</v>
      </c>
      <c r="G854">
        <v>-16900</v>
      </c>
      <c r="H854" t="s">
        <v>147</v>
      </c>
      <c r="I854" t="s">
        <v>154</v>
      </c>
    </row>
    <row r="855" spans="1:9">
      <c r="A855" s="50">
        <v>45761</v>
      </c>
      <c r="B855" s="51">
        <v>0.6956134259259259</v>
      </c>
      <c r="C855" t="s">
        <v>145</v>
      </c>
      <c r="D855" t="s">
        <v>34</v>
      </c>
      <c r="E855" t="s">
        <v>47</v>
      </c>
      <c r="F855" t="s">
        <v>146</v>
      </c>
      <c r="G855">
        <v>-1700</v>
      </c>
      <c r="H855" t="s">
        <v>147</v>
      </c>
      <c r="I855" t="s">
        <v>148</v>
      </c>
    </row>
    <row r="856" spans="1:9">
      <c r="A856" s="50">
        <v>45761</v>
      </c>
      <c r="B856" s="51">
        <v>0.5119328703703704</v>
      </c>
      <c r="C856" t="s">
        <v>145</v>
      </c>
      <c r="D856" t="s">
        <v>34</v>
      </c>
      <c r="E856" t="s">
        <v>47</v>
      </c>
      <c r="F856" t="s">
        <v>146</v>
      </c>
      <c r="G856">
        <v>-1800</v>
      </c>
      <c r="H856" t="s">
        <v>147</v>
      </c>
      <c r="I856" t="s">
        <v>148</v>
      </c>
    </row>
    <row r="857" spans="1:9">
      <c r="A857" s="50">
        <v>45761</v>
      </c>
      <c r="B857" s="51">
        <v>0.130775462962963</v>
      </c>
      <c r="C857" t="s">
        <v>145</v>
      </c>
      <c r="D857" t="s">
        <v>35</v>
      </c>
      <c r="E857" t="s">
        <v>207</v>
      </c>
      <c r="F857" t="s">
        <v>234</v>
      </c>
      <c r="G857">
        <v>-193044</v>
      </c>
      <c r="H857" t="s">
        <v>147</v>
      </c>
      <c r="I857" t="s">
        <v>57</v>
      </c>
    </row>
    <row r="858" spans="1:9">
      <c r="A858" s="50">
        <v>45761</v>
      </c>
      <c r="B858" s="51">
        <v>0.1284143518518518</v>
      </c>
      <c r="C858" t="s">
        <v>151</v>
      </c>
      <c r="D858" t="s">
        <v>151</v>
      </c>
      <c r="E858" t="s">
        <v>47</v>
      </c>
      <c r="F858" t="s">
        <v>234</v>
      </c>
      <c r="G858">
        <v>-298983</v>
      </c>
      <c r="H858" t="s">
        <v>147</v>
      </c>
      <c r="I858" t="s">
        <v>61</v>
      </c>
    </row>
    <row r="859" spans="1:9">
      <c r="A859" s="50">
        <v>45760</v>
      </c>
      <c r="B859" s="51">
        <v>0.9507638888888889</v>
      </c>
      <c r="C859" t="s">
        <v>145</v>
      </c>
      <c r="D859" t="s">
        <v>34</v>
      </c>
      <c r="E859" t="s">
        <v>47</v>
      </c>
      <c r="F859" t="s">
        <v>457</v>
      </c>
      <c r="G859">
        <v>-2500</v>
      </c>
      <c r="H859" t="s">
        <v>147</v>
      </c>
      <c r="I859" t="s">
        <v>148</v>
      </c>
    </row>
    <row r="860" spans="1:9">
      <c r="A860" s="50">
        <v>45760</v>
      </c>
      <c r="B860" s="51">
        <v>0.9507407407407408</v>
      </c>
      <c r="C860" t="s">
        <v>145</v>
      </c>
      <c r="D860" t="s">
        <v>34</v>
      </c>
      <c r="E860" t="s">
        <v>47</v>
      </c>
      <c r="F860" t="s">
        <v>457</v>
      </c>
      <c r="G860">
        <v>-6500</v>
      </c>
      <c r="H860" t="s">
        <v>147</v>
      </c>
      <c r="I860" t="s">
        <v>148</v>
      </c>
    </row>
    <row r="861" spans="1:9">
      <c r="A861" s="50">
        <v>45760</v>
      </c>
      <c r="B861" s="51">
        <v>0.9425810185185185</v>
      </c>
      <c r="C861" t="s">
        <v>145</v>
      </c>
      <c r="D861" t="s">
        <v>34</v>
      </c>
      <c r="E861" t="s">
        <v>47</v>
      </c>
      <c r="F861" t="s">
        <v>458</v>
      </c>
      <c r="G861">
        <v>8900</v>
      </c>
      <c r="H861" t="s">
        <v>147</v>
      </c>
      <c r="I861" t="s">
        <v>148</v>
      </c>
    </row>
    <row r="862" spans="1:9">
      <c r="A862" s="50">
        <v>45760</v>
      </c>
      <c r="B862" s="51">
        <v>0.9425694444444445</v>
      </c>
      <c r="C862" t="s">
        <v>145</v>
      </c>
      <c r="D862" t="s">
        <v>34</v>
      </c>
      <c r="E862" t="s">
        <v>47</v>
      </c>
      <c r="F862" t="s">
        <v>458</v>
      </c>
      <c r="G862">
        <v>-8900</v>
      </c>
      <c r="H862" t="s">
        <v>147</v>
      </c>
      <c r="I862" t="s">
        <v>148</v>
      </c>
    </row>
    <row r="863" spans="1:9">
      <c r="A863" s="50">
        <v>45760</v>
      </c>
      <c r="B863" s="51">
        <v>0.9365162037037037</v>
      </c>
      <c r="C863" t="s">
        <v>145</v>
      </c>
      <c r="D863" t="s">
        <v>39</v>
      </c>
      <c r="E863" t="s">
        <v>47</v>
      </c>
      <c r="F863" t="s">
        <v>459</v>
      </c>
      <c r="G863">
        <v>-169500</v>
      </c>
      <c r="H863" t="s">
        <v>147</v>
      </c>
      <c r="I863" t="s">
        <v>148</v>
      </c>
    </row>
    <row r="864" spans="1:9">
      <c r="A864" s="50">
        <v>45760</v>
      </c>
      <c r="B864" s="51">
        <v>0.9303935185185185</v>
      </c>
      <c r="C864" t="s">
        <v>145</v>
      </c>
      <c r="D864" t="s">
        <v>38</v>
      </c>
      <c r="E864" t="s">
        <v>47</v>
      </c>
      <c r="F864" t="s">
        <v>460</v>
      </c>
      <c r="G864">
        <v>-11200</v>
      </c>
      <c r="H864" t="s">
        <v>147</v>
      </c>
      <c r="I864" t="s">
        <v>148</v>
      </c>
    </row>
    <row r="865" spans="1:9">
      <c r="A865" s="50">
        <v>45760</v>
      </c>
      <c r="B865" s="51">
        <v>0.6207291666666667</v>
      </c>
      <c r="C865" t="s">
        <v>145</v>
      </c>
      <c r="D865" t="s">
        <v>39</v>
      </c>
      <c r="E865" t="s">
        <v>47</v>
      </c>
      <c r="F865" t="s">
        <v>461</v>
      </c>
      <c r="G865">
        <v>-137000</v>
      </c>
      <c r="H865" t="s">
        <v>147</v>
      </c>
      <c r="I865" t="s">
        <v>148</v>
      </c>
    </row>
    <row r="866" spans="1:9">
      <c r="A866" s="50">
        <v>45760</v>
      </c>
      <c r="B866" s="51">
        <v>0.5696412037037037</v>
      </c>
      <c r="C866" t="s">
        <v>145</v>
      </c>
      <c r="D866" t="s">
        <v>34</v>
      </c>
      <c r="E866" t="s">
        <v>47</v>
      </c>
      <c r="F866" t="s">
        <v>146</v>
      </c>
      <c r="G866">
        <v>-1500</v>
      </c>
      <c r="H866" t="s">
        <v>147</v>
      </c>
      <c r="I866" t="s">
        <v>148</v>
      </c>
    </row>
    <row r="867" spans="1:9">
      <c r="A867" s="50">
        <v>45760</v>
      </c>
      <c r="B867" s="51">
        <v>0.4340625</v>
      </c>
      <c r="C867" t="s">
        <v>145</v>
      </c>
      <c r="D867" t="s">
        <v>34</v>
      </c>
      <c r="E867" t="s">
        <v>47</v>
      </c>
      <c r="F867" t="s">
        <v>146</v>
      </c>
      <c r="G867">
        <v>-1500</v>
      </c>
      <c r="H867" t="s">
        <v>147</v>
      </c>
      <c r="I867" t="s">
        <v>148</v>
      </c>
    </row>
    <row r="868" spans="1:9">
      <c r="A868" s="50">
        <v>45759</v>
      </c>
      <c r="B868" s="51">
        <v>0.9065277777777778</v>
      </c>
      <c r="C868" t="s">
        <v>145</v>
      </c>
      <c r="D868" t="s">
        <v>34</v>
      </c>
      <c r="E868" t="s">
        <v>47</v>
      </c>
      <c r="F868" t="s">
        <v>146</v>
      </c>
      <c r="G868">
        <v>-1600</v>
      </c>
      <c r="H868" t="s">
        <v>147</v>
      </c>
      <c r="I868" t="s">
        <v>148</v>
      </c>
    </row>
    <row r="869" spans="1:9">
      <c r="A869" s="50">
        <v>45759</v>
      </c>
      <c r="B869" s="51">
        <v>0.7623032407407407</v>
      </c>
      <c r="C869" t="s">
        <v>145</v>
      </c>
      <c r="D869" t="s">
        <v>34</v>
      </c>
      <c r="E869" t="s">
        <v>47</v>
      </c>
      <c r="F869" t="s">
        <v>244</v>
      </c>
      <c r="G869">
        <v>-300</v>
      </c>
      <c r="H869" t="s">
        <v>147</v>
      </c>
      <c r="I869" t="s">
        <v>148</v>
      </c>
    </row>
    <row r="870" spans="1:9">
      <c r="A870" s="50">
        <v>45759</v>
      </c>
      <c r="B870" s="51">
        <v>0.742824074074074</v>
      </c>
      <c r="C870" t="s">
        <v>145</v>
      </c>
      <c r="D870" t="s">
        <v>34</v>
      </c>
      <c r="E870" t="s">
        <v>47</v>
      </c>
      <c r="F870" t="s">
        <v>244</v>
      </c>
      <c r="G870">
        <v>-1200</v>
      </c>
      <c r="H870" t="s">
        <v>147</v>
      </c>
      <c r="I870" t="s">
        <v>148</v>
      </c>
    </row>
    <row r="871" spans="1:9">
      <c r="A871" s="50">
        <v>45759</v>
      </c>
      <c r="B871" s="51">
        <v>0.5682870370370371</v>
      </c>
      <c r="C871" t="s">
        <v>145</v>
      </c>
      <c r="D871" t="s">
        <v>46</v>
      </c>
      <c r="E871" t="s">
        <v>47</v>
      </c>
      <c r="F871" t="s">
        <v>462</v>
      </c>
      <c r="G871">
        <v>-7900</v>
      </c>
      <c r="H871" t="s">
        <v>147</v>
      </c>
      <c r="I871" t="s">
        <v>148</v>
      </c>
    </row>
    <row r="872" spans="1:9">
      <c r="A872" s="50">
        <v>45759</v>
      </c>
      <c r="B872" s="51">
        <v>0.5552430555555555</v>
      </c>
      <c r="C872" t="s">
        <v>145</v>
      </c>
      <c r="D872" t="s">
        <v>40</v>
      </c>
      <c r="E872" t="s">
        <v>47</v>
      </c>
      <c r="F872" t="s">
        <v>463</v>
      </c>
      <c r="G872">
        <v>-84000</v>
      </c>
      <c r="H872" t="s">
        <v>147</v>
      </c>
      <c r="I872" t="s">
        <v>148</v>
      </c>
    </row>
    <row r="873" spans="1:9">
      <c r="A873" s="50">
        <v>45759</v>
      </c>
      <c r="B873" s="51">
        <v>0.5391550925925926</v>
      </c>
      <c r="C873" t="s">
        <v>151</v>
      </c>
      <c r="D873" t="s">
        <v>47</v>
      </c>
      <c r="E873" t="s">
        <v>47</v>
      </c>
      <c r="F873" t="s">
        <v>464</v>
      </c>
      <c r="G873">
        <v>45000</v>
      </c>
      <c r="H873" t="s">
        <v>147</v>
      </c>
      <c r="I873" t="s">
        <v>57</v>
      </c>
    </row>
    <row r="874" spans="1:9">
      <c r="A874" s="50">
        <v>45759</v>
      </c>
      <c r="B874" s="51">
        <v>0.4335185185185185</v>
      </c>
      <c r="C874" t="s">
        <v>145</v>
      </c>
      <c r="D874" t="s">
        <v>34</v>
      </c>
      <c r="E874" t="s">
        <v>47</v>
      </c>
      <c r="F874" t="s">
        <v>457</v>
      </c>
      <c r="G874">
        <v>-6800</v>
      </c>
      <c r="H874" t="s">
        <v>147</v>
      </c>
      <c r="I874" t="s">
        <v>148</v>
      </c>
    </row>
    <row r="875" spans="1:9">
      <c r="A875" s="50">
        <v>45759</v>
      </c>
      <c r="B875" s="51">
        <v>0.4246759259259259</v>
      </c>
      <c r="C875" t="s">
        <v>145</v>
      </c>
      <c r="D875" t="s">
        <v>34</v>
      </c>
      <c r="E875" t="s">
        <v>47</v>
      </c>
      <c r="F875" t="s">
        <v>458</v>
      </c>
      <c r="G875">
        <v>7500</v>
      </c>
      <c r="H875" t="s">
        <v>147</v>
      </c>
      <c r="I875" t="s">
        <v>148</v>
      </c>
    </row>
    <row r="876" spans="1:9">
      <c r="A876" s="50">
        <v>45759</v>
      </c>
      <c r="B876" s="51">
        <v>0.4246643518518519</v>
      </c>
      <c r="C876" t="s">
        <v>145</v>
      </c>
      <c r="D876" t="s">
        <v>34</v>
      </c>
      <c r="E876" t="s">
        <v>47</v>
      </c>
      <c r="F876" t="s">
        <v>458</v>
      </c>
      <c r="G876">
        <v>-7500</v>
      </c>
      <c r="H876" t="s">
        <v>147</v>
      </c>
      <c r="I876" t="s">
        <v>148</v>
      </c>
    </row>
    <row r="877" spans="1:9">
      <c r="A877" s="50">
        <v>45759</v>
      </c>
      <c r="B877" s="51">
        <v>0.2941782407407407</v>
      </c>
      <c r="C877" t="s">
        <v>145</v>
      </c>
      <c r="D877" t="s">
        <v>34</v>
      </c>
      <c r="E877" t="s">
        <v>47</v>
      </c>
      <c r="F877" t="s">
        <v>146</v>
      </c>
      <c r="G877">
        <v>-1700</v>
      </c>
      <c r="H877" t="s">
        <v>147</v>
      </c>
      <c r="I877" t="s">
        <v>148</v>
      </c>
    </row>
    <row r="878" spans="1:9">
      <c r="A878" s="50">
        <v>45758</v>
      </c>
      <c r="B878" s="51">
        <v>0.8641435185185186</v>
      </c>
      <c r="C878" t="s">
        <v>145</v>
      </c>
      <c r="D878" t="s">
        <v>40</v>
      </c>
      <c r="E878" t="s">
        <v>47</v>
      </c>
      <c r="F878" t="s">
        <v>465</v>
      </c>
      <c r="G878">
        <v>-32000</v>
      </c>
      <c r="H878" t="s">
        <v>147</v>
      </c>
      <c r="I878" t="s">
        <v>148</v>
      </c>
    </row>
    <row r="879" spans="1:9">
      <c r="A879" s="50">
        <v>45758</v>
      </c>
      <c r="B879" s="51">
        <v>0.6963773148148148</v>
      </c>
      <c r="C879" t="s">
        <v>145</v>
      </c>
      <c r="D879" t="s">
        <v>34</v>
      </c>
      <c r="E879" t="s">
        <v>47</v>
      </c>
      <c r="F879" t="s">
        <v>146</v>
      </c>
      <c r="G879">
        <v>-1500</v>
      </c>
      <c r="H879" t="s">
        <v>147</v>
      </c>
      <c r="I879" t="s">
        <v>148</v>
      </c>
    </row>
    <row r="880" spans="1:9">
      <c r="A880" s="50">
        <v>45758</v>
      </c>
      <c r="B880" s="51">
        <v>0.3959490740740741</v>
      </c>
      <c r="C880" t="s">
        <v>151</v>
      </c>
      <c r="D880" t="s">
        <v>160</v>
      </c>
      <c r="E880" t="s">
        <v>47</v>
      </c>
      <c r="F880" t="s">
        <v>7</v>
      </c>
      <c r="G880">
        <v>1000000</v>
      </c>
      <c r="H880" t="s">
        <v>147</v>
      </c>
      <c r="I880" t="s">
        <v>61</v>
      </c>
    </row>
    <row r="881" spans="1:9">
      <c r="A881" s="50">
        <v>45758</v>
      </c>
      <c r="B881" s="51">
        <v>0.3959490740740741</v>
      </c>
      <c r="C881" t="s">
        <v>151</v>
      </c>
      <c r="D881" t="s">
        <v>160</v>
      </c>
      <c r="E881" t="s">
        <v>47</v>
      </c>
      <c r="F881" t="s">
        <v>7</v>
      </c>
      <c r="G881">
        <v>-1000000</v>
      </c>
      <c r="H881" t="s">
        <v>147</v>
      </c>
      <c r="I881" t="s">
        <v>57</v>
      </c>
    </row>
    <row r="882" spans="1:9">
      <c r="A882" s="50">
        <v>45758</v>
      </c>
      <c r="B882" s="51">
        <v>0.3814583333333333</v>
      </c>
      <c r="C882" t="s">
        <v>151</v>
      </c>
      <c r="D882" t="s">
        <v>160</v>
      </c>
      <c r="E882" t="s">
        <v>47</v>
      </c>
      <c r="F882" t="s">
        <v>7</v>
      </c>
      <c r="G882">
        <v>-100000</v>
      </c>
      <c r="H882" t="s">
        <v>147</v>
      </c>
      <c r="I882" t="s">
        <v>57</v>
      </c>
    </row>
    <row r="883" spans="1:9">
      <c r="A883" s="50">
        <v>45758</v>
      </c>
      <c r="B883" s="51">
        <v>0.3811458333333334</v>
      </c>
      <c r="C883" t="s">
        <v>145</v>
      </c>
      <c r="D883" t="s">
        <v>42</v>
      </c>
      <c r="E883" t="s">
        <v>47</v>
      </c>
      <c r="F883" t="s">
        <v>229</v>
      </c>
      <c r="G883">
        <v>-400000</v>
      </c>
      <c r="H883" t="s">
        <v>147</v>
      </c>
      <c r="I883" t="s">
        <v>57</v>
      </c>
    </row>
    <row r="884" spans="1:9">
      <c r="A884" s="50">
        <v>45758</v>
      </c>
      <c r="B884" s="51">
        <v>0.3634722222222222</v>
      </c>
      <c r="C884" t="s">
        <v>151</v>
      </c>
      <c r="D884" t="s">
        <v>198</v>
      </c>
      <c r="E884" t="s">
        <v>47</v>
      </c>
      <c r="F884" t="s">
        <v>213</v>
      </c>
      <c r="G884">
        <v>1893930</v>
      </c>
      <c r="H884" t="s">
        <v>147</v>
      </c>
      <c r="I884" t="s">
        <v>57</v>
      </c>
    </row>
    <row r="885" spans="1:9">
      <c r="A885" s="50">
        <v>45758</v>
      </c>
      <c r="B885" s="51">
        <v>0.2889236111111111</v>
      </c>
      <c r="C885" t="s">
        <v>145</v>
      </c>
      <c r="D885" t="s">
        <v>34</v>
      </c>
      <c r="E885" t="s">
        <v>47</v>
      </c>
      <c r="F885" t="s">
        <v>146</v>
      </c>
      <c r="G885">
        <v>-1700</v>
      </c>
      <c r="H885" t="s">
        <v>147</v>
      </c>
      <c r="I885" t="s">
        <v>148</v>
      </c>
    </row>
    <row r="886" spans="1:9">
      <c r="A886" s="50">
        <v>45757</v>
      </c>
      <c r="B886" s="51">
        <v>0.8713657407407407</v>
      </c>
      <c r="C886" t="s">
        <v>145</v>
      </c>
      <c r="D886" t="s">
        <v>40</v>
      </c>
      <c r="E886" t="s">
        <v>47</v>
      </c>
      <c r="F886" t="s">
        <v>466</v>
      </c>
      <c r="G886">
        <v>-53500</v>
      </c>
      <c r="H886" t="s">
        <v>147</v>
      </c>
      <c r="I886" t="s">
        <v>148</v>
      </c>
    </row>
    <row r="887" spans="1:9">
      <c r="A887" s="50">
        <v>45757</v>
      </c>
      <c r="B887" s="51">
        <v>0.8025347222222222</v>
      </c>
      <c r="C887" t="s">
        <v>145</v>
      </c>
      <c r="D887" t="s">
        <v>39</v>
      </c>
      <c r="E887" t="s">
        <v>47</v>
      </c>
      <c r="F887" t="s">
        <v>467</v>
      </c>
      <c r="G887">
        <v>-96000</v>
      </c>
      <c r="H887" t="s">
        <v>147</v>
      </c>
      <c r="I887" t="s">
        <v>148</v>
      </c>
    </row>
    <row r="888" spans="1:9">
      <c r="A888" s="50">
        <v>45757</v>
      </c>
      <c r="B888" s="51">
        <v>0.7353819444444445</v>
      </c>
      <c r="C888" t="s">
        <v>145</v>
      </c>
      <c r="D888" t="s">
        <v>34</v>
      </c>
      <c r="E888" t="s">
        <v>47</v>
      </c>
      <c r="F888" t="s">
        <v>146</v>
      </c>
      <c r="G888">
        <v>-1700</v>
      </c>
      <c r="H888" t="s">
        <v>147</v>
      </c>
      <c r="I888" t="s">
        <v>148</v>
      </c>
    </row>
    <row r="889" spans="1:9">
      <c r="A889" s="50">
        <v>45757</v>
      </c>
      <c r="B889" s="51">
        <v>0.5737731481481482</v>
      </c>
      <c r="C889" t="s">
        <v>145</v>
      </c>
      <c r="D889" t="s">
        <v>42</v>
      </c>
      <c r="E889" t="s">
        <v>47</v>
      </c>
      <c r="F889" t="s">
        <v>153</v>
      </c>
      <c r="G889">
        <v>-11900</v>
      </c>
      <c r="H889" t="s">
        <v>147</v>
      </c>
      <c r="I889" t="s">
        <v>154</v>
      </c>
    </row>
    <row r="890" spans="1:9">
      <c r="A890" s="50">
        <v>45757</v>
      </c>
      <c r="B890" s="51">
        <v>0.5303703703703704</v>
      </c>
      <c r="C890" t="s">
        <v>151</v>
      </c>
      <c r="D890" t="s">
        <v>151</v>
      </c>
      <c r="E890" t="s">
        <v>47</v>
      </c>
      <c r="F890" t="s">
        <v>468</v>
      </c>
      <c r="G890">
        <v>50000</v>
      </c>
      <c r="H890" t="s">
        <v>147</v>
      </c>
      <c r="I890" t="s">
        <v>162</v>
      </c>
    </row>
    <row r="891" spans="1:9">
      <c r="A891" s="50">
        <v>45757</v>
      </c>
      <c r="B891" s="51">
        <v>0.2889236111111111</v>
      </c>
      <c r="C891" t="s">
        <v>145</v>
      </c>
      <c r="D891" t="s">
        <v>34</v>
      </c>
      <c r="E891" t="s">
        <v>47</v>
      </c>
      <c r="F891" t="s">
        <v>146</v>
      </c>
      <c r="G891">
        <v>-1700</v>
      </c>
      <c r="H891" t="s">
        <v>147</v>
      </c>
      <c r="I891" t="s">
        <v>148</v>
      </c>
    </row>
    <row r="892" spans="1:9">
      <c r="A892" s="50">
        <v>45757</v>
      </c>
      <c r="B892" s="51">
        <v>0.2417592592592593</v>
      </c>
      <c r="C892" t="s">
        <v>151</v>
      </c>
      <c r="D892" t="s">
        <v>160</v>
      </c>
      <c r="E892" t="s">
        <v>47</v>
      </c>
      <c r="F892" t="s">
        <v>7</v>
      </c>
      <c r="G892">
        <v>-300000</v>
      </c>
      <c r="H892" t="s">
        <v>147</v>
      </c>
      <c r="I892" t="s">
        <v>61</v>
      </c>
    </row>
    <row r="893" spans="1:9">
      <c r="A893" s="50">
        <v>45757</v>
      </c>
      <c r="B893" s="51">
        <v>0.2417592592592593</v>
      </c>
      <c r="C893" t="s">
        <v>151</v>
      </c>
      <c r="D893" t="s">
        <v>160</v>
      </c>
      <c r="E893" t="s">
        <v>47</v>
      </c>
      <c r="F893" t="s">
        <v>7</v>
      </c>
      <c r="G893">
        <v>300000</v>
      </c>
      <c r="H893" t="s">
        <v>147</v>
      </c>
      <c r="I893" t="s">
        <v>57</v>
      </c>
    </row>
    <row r="894" spans="1:9">
      <c r="A894" s="50">
        <v>45756</v>
      </c>
      <c r="B894" s="51">
        <v>0.8066319444444444</v>
      </c>
      <c r="C894" t="s">
        <v>145</v>
      </c>
      <c r="D894" t="s">
        <v>34</v>
      </c>
      <c r="E894" t="s">
        <v>47</v>
      </c>
      <c r="F894" t="s">
        <v>146</v>
      </c>
      <c r="G894">
        <v>-1700</v>
      </c>
      <c r="H894" t="s">
        <v>147</v>
      </c>
      <c r="I894" t="s">
        <v>148</v>
      </c>
    </row>
    <row r="895" spans="1:9">
      <c r="A895" s="50">
        <v>45756</v>
      </c>
      <c r="B895" s="51">
        <v>0.661724537037037</v>
      </c>
      <c r="C895" t="s">
        <v>145</v>
      </c>
      <c r="D895" t="s">
        <v>42</v>
      </c>
      <c r="E895" t="s">
        <v>47</v>
      </c>
      <c r="F895" t="s">
        <v>219</v>
      </c>
      <c r="G895">
        <v>-15900</v>
      </c>
      <c r="H895" t="s">
        <v>147</v>
      </c>
      <c r="I895" t="s">
        <v>148</v>
      </c>
    </row>
    <row r="896" spans="1:9">
      <c r="A896" s="50">
        <v>45756</v>
      </c>
      <c r="B896" s="51">
        <v>0.651261574074074</v>
      </c>
      <c r="C896" t="s">
        <v>151</v>
      </c>
      <c r="D896" t="s">
        <v>160</v>
      </c>
      <c r="E896" t="s">
        <v>47</v>
      </c>
      <c r="F896" t="s">
        <v>163</v>
      </c>
      <c r="G896">
        <v>-26946</v>
      </c>
      <c r="H896" t="s">
        <v>147</v>
      </c>
      <c r="I896" t="s">
        <v>57</v>
      </c>
    </row>
    <row r="897" spans="1:9">
      <c r="A897" s="50">
        <v>45756</v>
      </c>
      <c r="B897" s="51">
        <v>0.65125</v>
      </c>
      <c r="C897" t="s">
        <v>145</v>
      </c>
      <c r="D897" t="s">
        <v>42</v>
      </c>
      <c r="E897" t="s">
        <v>47</v>
      </c>
      <c r="F897" t="s">
        <v>408</v>
      </c>
      <c r="G897">
        <v>-30280</v>
      </c>
      <c r="H897" t="s">
        <v>147</v>
      </c>
      <c r="I897" t="s">
        <v>154</v>
      </c>
    </row>
    <row r="898" spans="1:9">
      <c r="A898" s="50">
        <v>45756</v>
      </c>
      <c r="B898" s="51">
        <v>0.65125</v>
      </c>
      <c r="C898" t="s">
        <v>151</v>
      </c>
      <c r="D898" t="s">
        <v>160</v>
      </c>
      <c r="E898" t="s">
        <v>47</v>
      </c>
      <c r="F898" t="s">
        <v>161</v>
      </c>
      <c r="G898">
        <v>26946</v>
      </c>
      <c r="H898" t="s">
        <v>147</v>
      </c>
      <c r="I898" t="s">
        <v>162</v>
      </c>
    </row>
    <row r="899" spans="1:9">
      <c r="A899" s="50">
        <v>45756</v>
      </c>
      <c r="B899" s="51">
        <v>0.2925694444444444</v>
      </c>
      <c r="C899" t="s">
        <v>145</v>
      </c>
      <c r="D899" t="s">
        <v>34</v>
      </c>
      <c r="E899" t="s">
        <v>47</v>
      </c>
      <c r="F899" t="s">
        <v>146</v>
      </c>
      <c r="G899">
        <v>-1700</v>
      </c>
      <c r="H899" t="s">
        <v>147</v>
      </c>
      <c r="I899" t="s">
        <v>148</v>
      </c>
    </row>
    <row r="900" spans="1:9">
      <c r="A900" s="50">
        <v>45755</v>
      </c>
      <c r="B900" s="51">
        <v>0.9143981481481481</v>
      </c>
      <c r="C900" t="s">
        <v>145</v>
      </c>
      <c r="D900" t="s">
        <v>42</v>
      </c>
      <c r="E900" t="s">
        <v>47</v>
      </c>
      <c r="F900" t="s">
        <v>158</v>
      </c>
      <c r="G900">
        <v>-60000</v>
      </c>
      <c r="H900" t="s">
        <v>147</v>
      </c>
      <c r="I900" t="s">
        <v>57</v>
      </c>
    </row>
    <row r="901" spans="1:9">
      <c r="A901" s="50">
        <v>45755</v>
      </c>
      <c r="B901" s="51">
        <v>0.7974074074074075</v>
      </c>
      <c r="C901" t="s">
        <v>145</v>
      </c>
      <c r="D901" t="s">
        <v>40</v>
      </c>
      <c r="E901" t="s">
        <v>47</v>
      </c>
      <c r="F901" t="s">
        <v>469</v>
      </c>
      <c r="G901">
        <v>-65000</v>
      </c>
      <c r="H901" t="s">
        <v>147</v>
      </c>
      <c r="I901" t="s">
        <v>148</v>
      </c>
    </row>
    <row r="902" spans="1:9">
      <c r="A902" s="50">
        <v>45755</v>
      </c>
      <c r="B902" s="51">
        <v>0.7479745370370371</v>
      </c>
      <c r="C902" t="s">
        <v>151</v>
      </c>
      <c r="D902" t="s">
        <v>160</v>
      </c>
      <c r="E902" t="s">
        <v>47</v>
      </c>
      <c r="F902" t="s">
        <v>7</v>
      </c>
      <c r="G902">
        <v>-200000</v>
      </c>
      <c r="H902" t="s">
        <v>147</v>
      </c>
      <c r="I902" t="s">
        <v>61</v>
      </c>
    </row>
    <row r="903" spans="1:9">
      <c r="A903" s="50">
        <v>45755</v>
      </c>
      <c r="B903" s="51">
        <v>0.7479745370370371</v>
      </c>
      <c r="C903" t="s">
        <v>151</v>
      </c>
      <c r="D903" t="s">
        <v>160</v>
      </c>
      <c r="E903" t="s">
        <v>47</v>
      </c>
      <c r="F903" t="s">
        <v>7</v>
      </c>
      <c r="G903">
        <v>200000</v>
      </c>
      <c r="H903" t="s">
        <v>147</v>
      </c>
      <c r="I903" t="s">
        <v>57</v>
      </c>
    </row>
    <row r="904" spans="1:9">
      <c r="A904" s="50">
        <v>45755</v>
      </c>
      <c r="B904" s="51">
        <v>0.7149305555555555</v>
      </c>
      <c r="C904" t="s">
        <v>145</v>
      </c>
      <c r="D904" t="s">
        <v>34</v>
      </c>
      <c r="E904" t="s">
        <v>47</v>
      </c>
      <c r="F904" t="s">
        <v>146</v>
      </c>
      <c r="G904">
        <v>-200</v>
      </c>
      <c r="H904" t="s">
        <v>147</v>
      </c>
      <c r="I904" t="s">
        <v>148</v>
      </c>
    </row>
    <row r="905" spans="1:9">
      <c r="A905" s="50">
        <v>45755</v>
      </c>
      <c r="B905" s="51">
        <v>0.7023495370370371</v>
      </c>
      <c r="C905" t="s">
        <v>145</v>
      </c>
      <c r="D905" t="s">
        <v>34</v>
      </c>
      <c r="E905" t="s">
        <v>47</v>
      </c>
      <c r="F905" t="s">
        <v>244</v>
      </c>
      <c r="G905">
        <v>-1500</v>
      </c>
      <c r="H905" t="s">
        <v>147</v>
      </c>
      <c r="I905" t="s">
        <v>148</v>
      </c>
    </row>
    <row r="906" spans="1:9">
      <c r="A906" s="50">
        <v>45755</v>
      </c>
      <c r="B906" s="51">
        <v>0.6125347222222223</v>
      </c>
      <c r="C906" t="s">
        <v>145</v>
      </c>
      <c r="D906" t="s">
        <v>34</v>
      </c>
      <c r="E906" t="s">
        <v>47</v>
      </c>
      <c r="F906" t="s">
        <v>244</v>
      </c>
      <c r="G906">
        <v>-1500</v>
      </c>
      <c r="H906" t="s">
        <v>147</v>
      </c>
      <c r="I906" t="s">
        <v>148</v>
      </c>
    </row>
    <row r="907" spans="1:9">
      <c r="A907" s="50">
        <v>45755</v>
      </c>
      <c r="B907" s="51">
        <v>0.294224537037037</v>
      </c>
      <c r="C907" t="s">
        <v>145</v>
      </c>
      <c r="D907" t="s">
        <v>34</v>
      </c>
      <c r="E907" t="s">
        <v>47</v>
      </c>
      <c r="F907" t="s">
        <v>146</v>
      </c>
      <c r="G907">
        <v>-1700</v>
      </c>
      <c r="H907" t="s">
        <v>147</v>
      </c>
      <c r="I907" t="s">
        <v>148</v>
      </c>
    </row>
    <row r="908" spans="1:9">
      <c r="A908" s="50">
        <v>45754</v>
      </c>
      <c r="B908" s="51">
        <v>0.7646990740740741</v>
      </c>
      <c r="C908" t="s">
        <v>145</v>
      </c>
      <c r="D908" t="s">
        <v>41</v>
      </c>
      <c r="E908" t="s">
        <v>47</v>
      </c>
      <c r="F908" t="s">
        <v>157</v>
      </c>
      <c r="G908">
        <v>-82200</v>
      </c>
      <c r="H908" t="s">
        <v>147</v>
      </c>
      <c r="I908" t="s">
        <v>57</v>
      </c>
    </row>
    <row r="909" spans="1:9">
      <c r="A909" s="50">
        <v>45754</v>
      </c>
      <c r="B909" s="51">
        <v>0.7484606481481482</v>
      </c>
      <c r="C909" t="s">
        <v>151</v>
      </c>
      <c r="D909" t="s">
        <v>160</v>
      </c>
      <c r="E909" t="s">
        <v>47</v>
      </c>
      <c r="F909" t="s">
        <v>7</v>
      </c>
      <c r="G909">
        <v>-300000</v>
      </c>
      <c r="H909" t="s">
        <v>147</v>
      </c>
      <c r="I909" t="s">
        <v>57</v>
      </c>
    </row>
    <row r="910" spans="1:9">
      <c r="A910" s="50">
        <v>45754</v>
      </c>
      <c r="B910" s="51">
        <v>0.7484606481481482</v>
      </c>
      <c r="C910" t="s">
        <v>151</v>
      </c>
      <c r="D910" t="s">
        <v>160</v>
      </c>
      <c r="E910" t="s">
        <v>47</v>
      </c>
      <c r="F910" t="s">
        <v>7</v>
      </c>
      <c r="G910">
        <v>300000</v>
      </c>
      <c r="H910" t="s">
        <v>147</v>
      </c>
      <c r="I910" t="s">
        <v>61</v>
      </c>
    </row>
    <row r="911" spans="1:9">
      <c r="A911" s="50">
        <v>45754</v>
      </c>
      <c r="B911" s="51">
        <v>0.7455439814814815</v>
      </c>
      <c r="C911" t="s">
        <v>145</v>
      </c>
      <c r="D911" t="s">
        <v>43</v>
      </c>
      <c r="E911" t="s">
        <v>47</v>
      </c>
      <c r="F911" t="s">
        <v>156</v>
      </c>
      <c r="G911">
        <v>-6000</v>
      </c>
      <c r="H911" t="s">
        <v>147</v>
      </c>
      <c r="I911" t="s">
        <v>148</v>
      </c>
    </row>
    <row r="912" spans="1:9">
      <c r="A912" s="50">
        <v>45753</v>
      </c>
      <c r="B912" s="51">
        <v>0.9491319444444445</v>
      </c>
      <c r="C912" t="s">
        <v>145</v>
      </c>
      <c r="D912" t="s">
        <v>42</v>
      </c>
      <c r="E912" t="s">
        <v>47</v>
      </c>
      <c r="F912" t="s">
        <v>219</v>
      </c>
      <c r="G912">
        <v>-58080</v>
      </c>
      <c r="H912" t="s">
        <v>147</v>
      </c>
      <c r="I912" t="s">
        <v>148</v>
      </c>
    </row>
    <row r="913" spans="1:9">
      <c r="A913" s="50">
        <v>45753</v>
      </c>
      <c r="B913" s="51">
        <v>0.9491319444444445</v>
      </c>
      <c r="C913" t="s">
        <v>145</v>
      </c>
      <c r="D913" t="s">
        <v>42</v>
      </c>
      <c r="E913" t="s">
        <v>47</v>
      </c>
      <c r="F913" t="s">
        <v>219</v>
      </c>
      <c r="G913">
        <v>-58080</v>
      </c>
      <c r="H913" t="s">
        <v>147</v>
      </c>
      <c r="I913" t="s">
        <v>148</v>
      </c>
    </row>
    <row r="914" spans="1:9">
      <c r="A914" s="50">
        <v>45753</v>
      </c>
      <c r="B914" s="51">
        <v>0.6838541666666667</v>
      </c>
      <c r="C914" t="s">
        <v>145</v>
      </c>
      <c r="D914" t="s">
        <v>45</v>
      </c>
      <c r="E914" t="s">
        <v>47</v>
      </c>
      <c r="F914" t="s">
        <v>470</v>
      </c>
      <c r="G914">
        <v>-8700</v>
      </c>
      <c r="H914" t="s">
        <v>147</v>
      </c>
      <c r="I914" t="s">
        <v>148</v>
      </c>
    </row>
    <row r="915" spans="1:9">
      <c r="A915" s="50">
        <v>45752</v>
      </c>
      <c r="B915" s="51">
        <v>0.7753935185185186</v>
      </c>
      <c r="C915" t="s">
        <v>145</v>
      </c>
      <c r="D915" t="s">
        <v>34</v>
      </c>
      <c r="E915" t="s">
        <v>47</v>
      </c>
      <c r="F915" t="s">
        <v>146</v>
      </c>
      <c r="G915">
        <v>-300</v>
      </c>
      <c r="H915" t="s">
        <v>147</v>
      </c>
      <c r="I915" t="s">
        <v>148</v>
      </c>
    </row>
    <row r="916" spans="1:9">
      <c r="A916" s="50">
        <v>45752</v>
      </c>
      <c r="B916" s="51">
        <v>0.7348611111111111</v>
      </c>
      <c r="C916" t="s">
        <v>145</v>
      </c>
      <c r="D916" t="s">
        <v>34</v>
      </c>
      <c r="E916" t="s">
        <v>47</v>
      </c>
      <c r="F916" t="s">
        <v>244</v>
      </c>
      <c r="G916">
        <v>-300</v>
      </c>
      <c r="H916" t="s">
        <v>147</v>
      </c>
      <c r="I916" t="s">
        <v>148</v>
      </c>
    </row>
    <row r="917" spans="1:9">
      <c r="A917" s="50">
        <v>45752</v>
      </c>
      <c r="B917" s="51">
        <v>0.733125</v>
      </c>
      <c r="C917" t="s">
        <v>145</v>
      </c>
      <c r="D917" t="s">
        <v>34</v>
      </c>
      <c r="E917" t="s">
        <v>47</v>
      </c>
      <c r="F917" t="s">
        <v>244</v>
      </c>
      <c r="G917">
        <v>-1200</v>
      </c>
      <c r="H917" t="s">
        <v>147</v>
      </c>
      <c r="I917" t="s">
        <v>148</v>
      </c>
    </row>
    <row r="918" spans="1:9">
      <c r="A918" s="50">
        <v>45752</v>
      </c>
      <c r="B918" s="51">
        <v>0.6420486111111111</v>
      </c>
      <c r="C918" t="s">
        <v>151</v>
      </c>
      <c r="D918" t="s">
        <v>151</v>
      </c>
      <c r="E918" t="s">
        <v>47</v>
      </c>
      <c r="F918" t="s">
        <v>471</v>
      </c>
      <c r="G918">
        <v>-405000</v>
      </c>
      <c r="H918" t="s">
        <v>147</v>
      </c>
      <c r="I918" t="s">
        <v>61</v>
      </c>
    </row>
    <row r="919" spans="1:9">
      <c r="A919" s="50">
        <v>45752</v>
      </c>
      <c r="B919" s="51">
        <v>0.6381018518518519</v>
      </c>
      <c r="C919" t="s">
        <v>151</v>
      </c>
      <c r="D919" t="s">
        <v>160</v>
      </c>
      <c r="E919" t="s">
        <v>47</v>
      </c>
      <c r="F919" t="s">
        <v>7</v>
      </c>
      <c r="G919">
        <v>400000</v>
      </c>
      <c r="H919" t="s">
        <v>147</v>
      </c>
      <c r="I919" t="s">
        <v>57</v>
      </c>
    </row>
    <row r="920" spans="1:9">
      <c r="A920" s="50">
        <v>45752</v>
      </c>
      <c r="B920" s="51">
        <v>0.6381018518518519</v>
      </c>
      <c r="C920" t="s">
        <v>151</v>
      </c>
      <c r="D920" t="s">
        <v>160</v>
      </c>
      <c r="E920" t="s">
        <v>47</v>
      </c>
      <c r="F920" t="s">
        <v>7</v>
      </c>
      <c r="G920">
        <v>-400000</v>
      </c>
      <c r="H920" t="s">
        <v>147</v>
      </c>
      <c r="I920" t="s">
        <v>61</v>
      </c>
    </row>
    <row r="921" spans="1:9">
      <c r="A921" s="50">
        <v>45752</v>
      </c>
      <c r="B921" s="51">
        <v>0.5450231481481481</v>
      </c>
      <c r="C921" t="s">
        <v>145</v>
      </c>
      <c r="D921" t="s">
        <v>45</v>
      </c>
      <c r="E921" t="s">
        <v>47</v>
      </c>
      <c r="F921" t="s">
        <v>472</v>
      </c>
      <c r="G921">
        <v>-19800</v>
      </c>
      <c r="H921" t="s">
        <v>147</v>
      </c>
      <c r="I921" t="s">
        <v>165</v>
      </c>
    </row>
    <row r="922" spans="1:9">
      <c r="A922" s="50">
        <v>45752</v>
      </c>
      <c r="B922" s="51">
        <v>0.5309027777777777</v>
      </c>
      <c r="C922" t="s">
        <v>145</v>
      </c>
      <c r="D922" t="s">
        <v>40</v>
      </c>
      <c r="E922" t="s">
        <v>47</v>
      </c>
      <c r="F922" t="s">
        <v>473</v>
      </c>
      <c r="G922">
        <v>-34000</v>
      </c>
      <c r="H922" t="s">
        <v>147</v>
      </c>
      <c r="I922" t="s">
        <v>165</v>
      </c>
    </row>
    <row r="923" spans="1:9">
      <c r="A923" s="50">
        <v>45752</v>
      </c>
      <c r="B923" s="51">
        <v>0.2943865740740741</v>
      </c>
      <c r="C923" t="s">
        <v>145</v>
      </c>
      <c r="D923" t="s">
        <v>34</v>
      </c>
      <c r="E923" t="s">
        <v>47</v>
      </c>
      <c r="F923" t="s">
        <v>146</v>
      </c>
      <c r="G923">
        <v>-1700</v>
      </c>
      <c r="H923" t="s">
        <v>147</v>
      </c>
      <c r="I923" t="s">
        <v>148</v>
      </c>
    </row>
    <row r="924" spans="1:9">
      <c r="A924" s="50">
        <v>45752</v>
      </c>
      <c r="B924" s="51">
        <v>0.2379861111111111</v>
      </c>
      <c r="C924" t="s">
        <v>145</v>
      </c>
      <c r="D924" t="s">
        <v>34</v>
      </c>
      <c r="E924" t="s">
        <v>47</v>
      </c>
      <c r="F924" t="s">
        <v>474</v>
      </c>
      <c r="G924">
        <v>-5500</v>
      </c>
      <c r="H924" t="s">
        <v>147</v>
      </c>
      <c r="I924" t="s">
        <v>165</v>
      </c>
    </row>
    <row r="925" spans="1:9">
      <c r="A925" s="50">
        <v>45752</v>
      </c>
      <c r="B925" s="51">
        <v>0.2379861111111111</v>
      </c>
      <c r="C925" t="s">
        <v>145</v>
      </c>
      <c r="D925" t="s">
        <v>47</v>
      </c>
      <c r="E925" t="s">
        <v>47</v>
      </c>
      <c r="F925" t="s">
        <v>475</v>
      </c>
      <c r="G925">
        <v>-4000</v>
      </c>
      <c r="H925" t="s">
        <v>147</v>
      </c>
      <c r="I925" t="s">
        <v>165</v>
      </c>
    </row>
    <row r="926" spans="1:9">
      <c r="A926" s="50">
        <v>45751</v>
      </c>
      <c r="B926" s="51">
        <v>0.7389351851851852</v>
      </c>
      <c r="C926" t="s">
        <v>145</v>
      </c>
      <c r="D926" t="s">
        <v>34</v>
      </c>
      <c r="E926" t="s">
        <v>47</v>
      </c>
      <c r="F926" t="s">
        <v>146</v>
      </c>
      <c r="G926">
        <v>-1700</v>
      </c>
      <c r="H926" t="s">
        <v>147</v>
      </c>
      <c r="I926" t="s">
        <v>148</v>
      </c>
    </row>
    <row r="927" spans="1:9">
      <c r="A927" s="50">
        <v>45751</v>
      </c>
      <c r="B927" s="51">
        <v>0.2876388888888889</v>
      </c>
      <c r="C927" t="s">
        <v>145</v>
      </c>
      <c r="D927" t="s">
        <v>34</v>
      </c>
      <c r="E927" t="s">
        <v>47</v>
      </c>
      <c r="F927" t="s">
        <v>146</v>
      </c>
      <c r="G927">
        <v>-1700</v>
      </c>
      <c r="H927" t="s">
        <v>147</v>
      </c>
      <c r="I927" t="s">
        <v>148</v>
      </c>
    </row>
    <row r="928" spans="1:9">
      <c r="A928" s="50">
        <v>45750</v>
      </c>
      <c r="B928" s="51">
        <v>0.9090625</v>
      </c>
      <c r="C928" t="s">
        <v>145</v>
      </c>
      <c r="D928" t="s">
        <v>42</v>
      </c>
      <c r="E928" t="s">
        <v>47</v>
      </c>
      <c r="F928" t="s">
        <v>159</v>
      </c>
      <c r="G928">
        <v>-30360</v>
      </c>
      <c r="H928" t="s">
        <v>147</v>
      </c>
      <c r="I928" t="s">
        <v>148</v>
      </c>
    </row>
    <row r="929" spans="1:9">
      <c r="A929" s="50">
        <v>45750</v>
      </c>
      <c r="B929" s="51">
        <v>0.7847106481481482</v>
      </c>
      <c r="C929" t="s">
        <v>145</v>
      </c>
      <c r="D929" t="s">
        <v>38</v>
      </c>
      <c r="E929" t="s">
        <v>47</v>
      </c>
      <c r="F929" t="s">
        <v>218</v>
      </c>
      <c r="G929">
        <v>-35750</v>
      </c>
      <c r="H929" t="s">
        <v>147</v>
      </c>
      <c r="I929" t="s">
        <v>148</v>
      </c>
    </row>
    <row r="930" spans="1:9">
      <c r="A930" s="50">
        <v>45750</v>
      </c>
      <c r="B930" s="51">
        <v>0.667349537037037</v>
      </c>
      <c r="C930" t="s">
        <v>151</v>
      </c>
      <c r="D930" t="s">
        <v>160</v>
      </c>
      <c r="E930" t="s">
        <v>47</v>
      </c>
      <c r="F930" t="s">
        <v>7</v>
      </c>
      <c r="G930">
        <v>150000</v>
      </c>
      <c r="H930" t="s">
        <v>147</v>
      </c>
      <c r="I930" t="s">
        <v>57</v>
      </c>
    </row>
    <row r="931" spans="1:9">
      <c r="A931" s="50">
        <v>45750</v>
      </c>
      <c r="B931" s="51">
        <v>0.667337962962963</v>
      </c>
      <c r="C931" t="s">
        <v>151</v>
      </c>
      <c r="D931" t="s">
        <v>160</v>
      </c>
      <c r="E931" t="s">
        <v>47</v>
      </c>
      <c r="F931" t="s">
        <v>161</v>
      </c>
      <c r="G931">
        <v>-150000</v>
      </c>
      <c r="H931" t="s">
        <v>147</v>
      </c>
      <c r="I931" t="s">
        <v>162</v>
      </c>
    </row>
    <row r="932" spans="1:9">
      <c r="A932" s="50">
        <v>45750</v>
      </c>
      <c r="B932" s="51">
        <v>0.666863425925926</v>
      </c>
      <c r="C932" t="s">
        <v>151</v>
      </c>
      <c r="D932" t="s">
        <v>151</v>
      </c>
      <c r="E932" t="s">
        <v>47</v>
      </c>
      <c r="F932" t="s">
        <v>476</v>
      </c>
      <c r="G932">
        <v>76666</v>
      </c>
      <c r="H932" t="s">
        <v>147</v>
      </c>
      <c r="I932" t="s">
        <v>162</v>
      </c>
    </row>
    <row r="933" spans="1:9">
      <c r="A933" s="50">
        <v>45750</v>
      </c>
      <c r="B933" s="51">
        <v>0.6380208333333334</v>
      </c>
      <c r="C933" t="s">
        <v>151</v>
      </c>
      <c r="D933" t="s">
        <v>151</v>
      </c>
      <c r="E933" t="s">
        <v>47</v>
      </c>
      <c r="F933" t="s">
        <v>477</v>
      </c>
      <c r="G933">
        <v>76666</v>
      </c>
      <c r="H933" t="s">
        <v>147</v>
      </c>
      <c r="I933" t="s">
        <v>162</v>
      </c>
    </row>
    <row r="934" spans="1:9">
      <c r="A934" s="50">
        <v>45750</v>
      </c>
      <c r="B934" s="51">
        <v>0.6371064814814815</v>
      </c>
      <c r="C934" t="s">
        <v>149</v>
      </c>
      <c r="D934" t="s">
        <v>29</v>
      </c>
      <c r="E934" t="s">
        <v>47</v>
      </c>
      <c r="F934" t="s">
        <v>478</v>
      </c>
      <c r="G934">
        <v>2</v>
      </c>
      <c r="H934" t="s">
        <v>147</v>
      </c>
      <c r="I934" t="s">
        <v>162</v>
      </c>
    </row>
    <row r="935" spans="1:9">
      <c r="A935" s="50">
        <v>45750</v>
      </c>
      <c r="B935" s="51">
        <v>0.6362152777777778</v>
      </c>
      <c r="C935" t="s">
        <v>151</v>
      </c>
      <c r="D935" t="s">
        <v>151</v>
      </c>
      <c r="E935" t="s">
        <v>47</v>
      </c>
      <c r="F935" t="s">
        <v>163</v>
      </c>
      <c r="G935">
        <v>-230000</v>
      </c>
      <c r="H935" t="s">
        <v>147</v>
      </c>
      <c r="I935" t="s">
        <v>57</v>
      </c>
    </row>
    <row r="936" spans="1:9">
      <c r="A936" s="50">
        <v>45750</v>
      </c>
      <c r="B936" s="51">
        <v>0.6340046296296297</v>
      </c>
      <c r="C936" t="s">
        <v>151</v>
      </c>
      <c r="D936" t="s">
        <v>160</v>
      </c>
      <c r="E936" t="s">
        <v>47</v>
      </c>
      <c r="F936" t="s">
        <v>7</v>
      </c>
      <c r="G936">
        <v>40000</v>
      </c>
      <c r="H936" t="s">
        <v>147</v>
      </c>
      <c r="I936" t="s">
        <v>57</v>
      </c>
    </row>
    <row r="937" spans="1:9">
      <c r="A937" s="50">
        <v>45750</v>
      </c>
      <c r="B937" s="51">
        <v>0.6340046296296297</v>
      </c>
      <c r="C937" t="s">
        <v>151</v>
      </c>
      <c r="D937" t="s">
        <v>160</v>
      </c>
      <c r="E937" t="s">
        <v>47</v>
      </c>
      <c r="F937" t="s">
        <v>7</v>
      </c>
      <c r="G937">
        <v>-40000</v>
      </c>
      <c r="H937" t="s">
        <v>147</v>
      </c>
      <c r="I937" t="s">
        <v>61</v>
      </c>
    </row>
    <row r="938" spans="1:9">
      <c r="A938" s="50">
        <v>45749</v>
      </c>
      <c r="B938" s="51">
        <v>0.7362962962962963</v>
      </c>
      <c r="C938" t="s">
        <v>145</v>
      </c>
      <c r="D938" t="s">
        <v>34</v>
      </c>
      <c r="E938" t="s">
        <v>47</v>
      </c>
      <c r="F938" t="s">
        <v>146</v>
      </c>
      <c r="G938">
        <v>-1700</v>
      </c>
      <c r="H938" t="s">
        <v>147</v>
      </c>
      <c r="I938" t="s">
        <v>148</v>
      </c>
    </row>
    <row r="939" spans="1:9">
      <c r="A939" s="50">
        <v>45749</v>
      </c>
      <c r="B939" s="51">
        <v>0.6349537037037037</v>
      </c>
      <c r="C939" t="s">
        <v>145</v>
      </c>
      <c r="D939" t="s">
        <v>42</v>
      </c>
      <c r="E939" t="s">
        <v>47</v>
      </c>
      <c r="F939" t="s">
        <v>158</v>
      </c>
      <c r="G939">
        <v>-50000</v>
      </c>
      <c r="H939" t="s">
        <v>147</v>
      </c>
      <c r="I939" t="s">
        <v>57</v>
      </c>
    </row>
    <row r="940" spans="1:9">
      <c r="A940" s="50">
        <v>45749</v>
      </c>
      <c r="B940" s="51">
        <v>0.4475578703703704</v>
      </c>
      <c r="C940" t="s">
        <v>145</v>
      </c>
      <c r="D940" t="s">
        <v>42</v>
      </c>
      <c r="E940" t="s">
        <v>47</v>
      </c>
      <c r="F940" t="s">
        <v>170</v>
      </c>
      <c r="G940">
        <v>-27520</v>
      </c>
      <c r="H940" t="s">
        <v>147</v>
      </c>
      <c r="I940" t="s">
        <v>148</v>
      </c>
    </row>
    <row r="941" spans="1:9">
      <c r="A941" s="50">
        <v>45749</v>
      </c>
      <c r="B941" s="51">
        <v>0.3251273148148148</v>
      </c>
      <c r="C941" t="s">
        <v>145</v>
      </c>
      <c r="D941" t="s">
        <v>38</v>
      </c>
      <c r="E941" t="s">
        <v>47</v>
      </c>
      <c r="F941" t="s">
        <v>268</v>
      </c>
      <c r="G941">
        <v>-1300</v>
      </c>
      <c r="H941" t="s">
        <v>147</v>
      </c>
      <c r="I941" t="s">
        <v>165</v>
      </c>
    </row>
    <row r="942" spans="1:9">
      <c r="A942" s="50">
        <v>45749</v>
      </c>
      <c r="B942" s="51">
        <v>0.292662037037037</v>
      </c>
      <c r="C942" t="s">
        <v>145</v>
      </c>
      <c r="D942" t="s">
        <v>34</v>
      </c>
      <c r="E942" t="s">
        <v>47</v>
      </c>
      <c r="F942" t="s">
        <v>146</v>
      </c>
      <c r="G942">
        <v>-1700</v>
      </c>
      <c r="H942" t="s">
        <v>147</v>
      </c>
      <c r="I942" t="s">
        <v>148</v>
      </c>
    </row>
    <row r="943" spans="1:9">
      <c r="A943" s="50">
        <v>45748</v>
      </c>
      <c r="B943" s="51">
        <v>0.7358796296296296</v>
      </c>
      <c r="C943" t="s">
        <v>145</v>
      </c>
      <c r="D943" t="s">
        <v>34</v>
      </c>
      <c r="E943" t="s">
        <v>47</v>
      </c>
      <c r="F943" t="s">
        <v>146</v>
      </c>
      <c r="G943">
        <v>-1700</v>
      </c>
      <c r="H943" t="s">
        <v>147</v>
      </c>
      <c r="I943" t="s">
        <v>148</v>
      </c>
    </row>
    <row r="944" spans="1:9">
      <c r="A944" s="50">
        <v>45748</v>
      </c>
      <c r="B944" s="51">
        <v>0.2890625</v>
      </c>
      <c r="C944" t="s">
        <v>145</v>
      </c>
      <c r="D944" t="s">
        <v>34</v>
      </c>
      <c r="E944" t="s">
        <v>47</v>
      </c>
      <c r="F944" t="s">
        <v>146</v>
      </c>
      <c r="G944">
        <v>-1700</v>
      </c>
      <c r="H944" t="s">
        <v>147</v>
      </c>
      <c r="I944" t="s">
        <v>148</v>
      </c>
    </row>
    <row r="945" spans="1:9">
      <c r="A945" s="50">
        <v>45747</v>
      </c>
      <c r="B945" s="51">
        <v>0.7349768518518518</v>
      </c>
      <c r="C945" t="s">
        <v>145</v>
      </c>
      <c r="D945" t="s">
        <v>34</v>
      </c>
      <c r="E945" t="s">
        <v>47</v>
      </c>
      <c r="F945" t="s">
        <v>146</v>
      </c>
      <c r="G945">
        <v>-1400</v>
      </c>
      <c r="H945" t="s">
        <v>147</v>
      </c>
      <c r="I945" t="s">
        <v>148</v>
      </c>
    </row>
    <row r="946" spans="1:9">
      <c r="A946" s="50">
        <v>45747</v>
      </c>
      <c r="B946" s="51">
        <v>0.4669328703703703</v>
      </c>
      <c r="C946" t="s">
        <v>145</v>
      </c>
      <c r="D946" t="s">
        <v>34</v>
      </c>
      <c r="E946" t="s">
        <v>47</v>
      </c>
      <c r="F946" t="s">
        <v>146</v>
      </c>
      <c r="G946">
        <v>-1500</v>
      </c>
      <c r="H946" t="s">
        <v>147</v>
      </c>
      <c r="I946" t="s">
        <v>148</v>
      </c>
    </row>
    <row r="947" spans="1:9">
      <c r="A947" s="50">
        <v>45746</v>
      </c>
      <c r="B947" s="51">
        <v>0.7234027777777777</v>
      </c>
      <c r="C947" t="s">
        <v>145</v>
      </c>
      <c r="D947" t="s">
        <v>34</v>
      </c>
      <c r="E947" t="s">
        <v>47</v>
      </c>
      <c r="F947" t="s">
        <v>146</v>
      </c>
      <c r="G947">
        <v>-1500</v>
      </c>
      <c r="H947" t="s">
        <v>147</v>
      </c>
      <c r="I947" t="s">
        <v>148</v>
      </c>
    </row>
    <row r="948" spans="1:9">
      <c r="A948" s="50">
        <v>45746</v>
      </c>
      <c r="B948" s="51">
        <v>0.5793287037037037</v>
      </c>
      <c r="C948" t="s">
        <v>145</v>
      </c>
      <c r="D948" t="s">
        <v>40</v>
      </c>
      <c r="E948" t="s">
        <v>47</v>
      </c>
      <c r="F948" t="s">
        <v>479</v>
      </c>
      <c r="G948">
        <v>-158000</v>
      </c>
      <c r="H948" t="s">
        <v>147</v>
      </c>
      <c r="I948" t="s">
        <v>148</v>
      </c>
    </row>
    <row r="949" spans="1:9">
      <c r="A949" s="50">
        <v>45746</v>
      </c>
      <c r="B949" s="51">
        <v>0.3858333333333333</v>
      </c>
      <c r="C949" t="s">
        <v>145</v>
      </c>
      <c r="D949" t="s">
        <v>42</v>
      </c>
      <c r="E949" t="s">
        <v>47</v>
      </c>
      <c r="F949" t="s">
        <v>159</v>
      </c>
      <c r="G949">
        <v>-58030</v>
      </c>
      <c r="H949" t="s">
        <v>147</v>
      </c>
      <c r="I949" t="s">
        <v>148</v>
      </c>
    </row>
    <row r="950" spans="1:9">
      <c r="A950" s="50">
        <v>45746</v>
      </c>
      <c r="B950" s="51">
        <v>0.2766898148148148</v>
      </c>
      <c r="C950" t="s">
        <v>151</v>
      </c>
      <c r="D950" t="s">
        <v>198</v>
      </c>
      <c r="E950" t="s">
        <v>47</v>
      </c>
      <c r="F950" t="s">
        <v>480</v>
      </c>
      <c r="G950">
        <v>57000</v>
      </c>
      <c r="H950" t="s">
        <v>147</v>
      </c>
      <c r="I950" t="s">
        <v>57</v>
      </c>
    </row>
    <row r="951" spans="1:9">
      <c r="A951" s="50">
        <v>45745</v>
      </c>
      <c r="B951" s="51">
        <v>0.9199421296296296</v>
      </c>
      <c r="C951" t="s">
        <v>145</v>
      </c>
      <c r="D951" t="s">
        <v>34</v>
      </c>
      <c r="E951" t="s">
        <v>47</v>
      </c>
      <c r="F951" t="s">
        <v>146</v>
      </c>
      <c r="G951">
        <v>-1700</v>
      </c>
      <c r="H951" t="s">
        <v>147</v>
      </c>
      <c r="I951" t="s">
        <v>148</v>
      </c>
    </row>
    <row r="952" spans="1:9">
      <c r="A952" s="50">
        <v>45745</v>
      </c>
      <c r="B952" s="51">
        <v>0.7759490740740741</v>
      </c>
      <c r="C952" t="s">
        <v>145</v>
      </c>
      <c r="D952" t="s">
        <v>38</v>
      </c>
      <c r="E952" t="s">
        <v>47</v>
      </c>
      <c r="F952" t="s">
        <v>218</v>
      </c>
      <c r="G952">
        <v>-41240</v>
      </c>
      <c r="H952" t="s">
        <v>147</v>
      </c>
      <c r="I952" t="s">
        <v>165</v>
      </c>
    </row>
    <row r="953" spans="1:9">
      <c r="A953" s="50">
        <v>45745</v>
      </c>
      <c r="B953" s="51">
        <v>0.7351736111111111</v>
      </c>
      <c r="C953" t="s">
        <v>145</v>
      </c>
      <c r="D953" t="s">
        <v>34</v>
      </c>
      <c r="E953" t="s">
        <v>47</v>
      </c>
      <c r="F953" t="s">
        <v>146</v>
      </c>
      <c r="G953">
        <v>-1400</v>
      </c>
      <c r="H953" t="s">
        <v>147</v>
      </c>
      <c r="I953" t="s">
        <v>148</v>
      </c>
    </row>
    <row r="954" spans="1:9">
      <c r="A954" s="50">
        <v>45745</v>
      </c>
      <c r="B954" s="51">
        <v>0.5608101851851852</v>
      </c>
      <c r="C954" t="s">
        <v>145</v>
      </c>
      <c r="D954" t="s">
        <v>40</v>
      </c>
      <c r="E954" t="s">
        <v>47</v>
      </c>
      <c r="F954" t="s">
        <v>481</v>
      </c>
      <c r="G954">
        <v>-109000</v>
      </c>
      <c r="H954" t="s">
        <v>147</v>
      </c>
      <c r="I954" t="s">
        <v>148</v>
      </c>
    </row>
    <row r="955" spans="1:9">
      <c r="A955" s="50">
        <v>45745</v>
      </c>
      <c r="B955" s="51">
        <v>0.2917476851851852</v>
      </c>
      <c r="C955" t="s">
        <v>145</v>
      </c>
      <c r="D955" t="s">
        <v>34</v>
      </c>
      <c r="E955" t="s">
        <v>47</v>
      </c>
      <c r="F955" t="s">
        <v>146</v>
      </c>
      <c r="G955">
        <v>-1700</v>
      </c>
      <c r="H955" t="s">
        <v>147</v>
      </c>
      <c r="I955" t="s">
        <v>148</v>
      </c>
    </row>
    <row r="956" spans="1:9">
      <c r="A956" s="50">
        <v>45744</v>
      </c>
      <c r="B956" s="51">
        <v>0.8512847222222222</v>
      </c>
      <c r="C956" t="s">
        <v>145</v>
      </c>
      <c r="D956" t="s">
        <v>36</v>
      </c>
      <c r="E956" t="s">
        <v>47</v>
      </c>
      <c r="F956" t="s">
        <v>482</v>
      </c>
      <c r="G956">
        <v>-15000</v>
      </c>
      <c r="H956" t="s">
        <v>147</v>
      </c>
      <c r="I956" t="s">
        <v>148</v>
      </c>
    </row>
    <row r="957" spans="1:9">
      <c r="A957" s="50">
        <v>45744</v>
      </c>
      <c r="B957" s="51">
        <v>0.8413194444444444</v>
      </c>
      <c r="C957" t="s">
        <v>145</v>
      </c>
      <c r="D957" t="s">
        <v>40</v>
      </c>
      <c r="E957" t="s">
        <v>47</v>
      </c>
      <c r="F957" t="s">
        <v>483</v>
      </c>
      <c r="G957">
        <v>-226000</v>
      </c>
      <c r="H957" t="s">
        <v>147</v>
      </c>
      <c r="I957" t="s">
        <v>148</v>
      </c>
    </row>
    <row r="958" spans="1:9">
      <c r="A958" s="50">
        <v>45744</v>
      </c>
      <c r="B958" s="51">
        <v>0.7366203703703704</v>
      </c>
      <c r="C958" t="s">
        <v>145</v>
      </c>
      <c r="D958" t="s">
        <v>34</v>
      </c>
      <c r="E958" t="s">
        <v>47</v>
      </c>
      <c r="F958" t="s">
        <v>146</v>
      </c>
      <c r="G958">
        <v>-1700</v>
      </c>
      <c r="H958" t="s">
        <v>147</v>
      </c>
      <c r="I958" t="s">
        <v>148</v>
      </c>
    </row>
    <row r="959" spans="1:9">
      <c r="A959" s="50">
        <v>45744</v>
      </c>
      <c r="B959" s="51">
        <v>0.2877199074074074</v>
      </c>
      <c r="C959" t="s">
        <v>145</v>
      </c>
      <c r="D959" t="s">
        <v>34</v>
      </c>
      <c r="E959" t="s">
        <v>47</v>
      </c>
      <c r="F959" t="s">
        <v>146</v>
      </c>
      <c r="G959">
        <v>-1700</v>
      </c>
      <c r="H959" t="s">
        <v>147</v>
      </c>
      <c r="I959" t="s">
        <v>148</v>
      </c>
    </row>
    <row r="960" spans="1:9">
      <c r="A960" s="50">
        <v>45743</v>
      </c>
      <c r="B960" s="51">
        <v>0.8360879629629629</v>
      </c>
      <c r="C960" t="s">
        <v>145</v>
      </c>
      <c r="D960" t="s">
        <v>34</v>
      </c>
      <c r="E960" t="s">
        <v>47</v>
      </c>
      <c r="F960" t="s">
        <v>146</v>
      </c>
      <c r="G960">
        <v>-200</v>
      </c>
      <c r="H960" t="s">
        <v>147</v>
      </c>
      <c r="I960" t="s">
        <v>148</v>
      </c>
    </row>
    <row r="961" spans="1:9">
      <c r="A961" s="50">
        <v>45743</v>
      </c>
      <c r="B961" s="51">
        <v>0.8207986111111111</v>
      </c>
      <c r="C961" t="s">
        <v>145</v>
      </c>
      <c r="D961" t="s">
        <v>34</v>
      </c>
      <c r="E961" t="s">
        <v>47</v>
      </c>
      <c r="F961" t="s">
        <v>244</v>
      </c>
      <c r="G961">
        <v>-1500</v>
      </c>
      <c r="H961" t="s">
        <v>147</v>
      </c>
      <c r="I961" t="s">
        <v>148</v>
      </c>
    </row>
    <row r="962" spans="1:9">
      <c r="A962" s="50">
        <v>45743</v>
      </c>
      <c r="B962" s="51">
        <v>0.7344097222222222</v>
      </c>
      <c r="C962" t="s">
        <v>145</v>
      </c>
      <c r="D962" t="s">
        <v>34</v>
      </c>
      <c r="E962" t="s">
        <v>47</v>
      </c>
      <c r="F962" t="s">
        <v>244</v>
      </c>
      <c r="G962">
        <v>-1500</v>
      </c>
      <c r="H962" t="s">
        <v>147</v>
      </c>
      <c r="I962" t="s">
        <v>148</v>
      </c>
    </row>
    <row r="963" spans="1:9">
      <c r="A963" s="50">
        <v>45743</v>
      </c>
      <c r="B963" s="51">
        <v>0.6845370370370371</v>
      </c>
      <c r="C963" t="s">
        <v>145</v>
      </c>
      <c r="D963" t="s">
        <v>34</v>
      </c>
      <c r="E963" t="s">
        <v>47</v>
      </c>
      <c r="F963" t="s">
        <v>484</v>
      </c>
      <c r="G963">
        <v>-36000</v>
      </c>
      <c r="H963" t="s">
        <v>147</v>
      </c>
      <c r="I963" t="s">
        <v>148</v>
      </c>
    </row>
    <row r="964" spans="1:9">
      <c r="A964" s="50">
        <v>45743</v>
      </c>
      <c r="B964" s="51">
        <v>0.2947569444444444</v>
      </c>
      <c r="C964" t="s">
        <v>145</v>
      </c>
      <c r="D964" t="s">
        <v>42</v>
      </c>
      <c r="E964" t="s">
        <v>47</v>
      </c>
      <c r="F964" t="s">
        <v>170</v>
      </c>
      <c r="G964">
        <v>-14500</v>
      </c>
      <c r="H964" t="s">
        <v>147</v>
      </c>
      <c r="I964" t="s">
        <v>148</v>
      </c>
    </row>
    <row r="965" spans="1:9">
      <c r="A965" s="50">
        <v>45743</v>
      </c>
      <c r="B965" s="51">
        <v>0.2918171296296296</v>
      </c>
      <c r="C965" t="s">
        <v>145</v>
      </c>
      <c r="D965" t="s">
        <v>34</v>
      </c>
      <c r="E965" t="s">
        <v>47</v>
      </c>
      <c r="F965" t="s">
        <v>146</v>
      </c>
      <c r="G965">
        <v>-1700</v>
      </c>
      <c r="H965" t="s">
        <v>147</v>
      </c>
      <c r="I965" t="s">
        <v>148</v>
      </c>
    </row>
    <row r="966" spans="1:9">
      <c r="A966" s="50">
        <v>45742</v>
      </c>
      <c r="B966" s="51">
        <v>0.8225694444444445</v>
      </c>
      <c r="C966" t="s">
        <v>151</v>
      </c>
      <c r="D966" t="s">
        <v>160</v>
      </c>
      <c r="E966" t="s">
        <v>47</v>
      </c>
      <c r="F966" t="s">
        <v>7</v>
      </c>
      <c r="G966">
        <v>200000</v>
      </c>
      <c r="H966" t="s">
        <v>147</v>
      </c>
      <c r="I966" t="s">
        <v>61</v>
      </c>
    </row>
    <row r="967" spans="1:9">
      <c r="A967" s="50">
        <v>45742</v>
      </c>
      <c r="B967" s="51">
        <v>0.8225694444444445</v>
      </c>
      <c r="C967" t="s">
        <v>151</v>
      </c>
      <c r="D967" t="s">
        <v>160</v>
      </c>
      <c r="E967" t="s">
        <v>47</v>
      </c>
      <c r="F967" t="s">
        <v>7</v>
      </c>
      <c r="G967">
        <v>-200000</v>
      </c>
      <c r="H967" t="s">
        <v>147</v>
      </c>
      <c r="I967" t="s">
        <v>57</v>
      </c>
    </row>
    <row r="968" spans="1:9">
      <c r="A968" s="50">
        <v>45742</v>
      </c>
      <c r="B968" s="51">
        <v>0.7652083333333334</v>
      </c>
      <c r="C968" t="s">
        <v>145</v>
      </c>
      <c r="D968" t="s">
        <v>35</v>
      </c>
      <c r="E968" t="s">
        <v>47</v>
      </c>
      <c r="F968" t="s">
        <v>202</v>
      </c>
      <c r="G968">
        <v>-10000</v>
      </c>
      <c r="H968" t="s">
        <v>147</v>
      </c>
      <c r="I968" t="s">
        <v>57</v>
      </c>
    </row>
    <row r="969" spans="1:9">
      <c r="A969" s="50">
        <v>45742</v>
      </c>
      <c r="B969" s="51">
        <v>0.7357523148148148</v>
      </c>
      <c r="C969" t="s">
        <v>145</v>
      </c>
      <c r="D969" t="s">
        <v>34</v>
      </c>
      <c r="E969" t="s">
        <v>47</v>
      </c>
      <c r="F969" t="s">
        <v>146</v>
      </c>
      <c r="G969">
        <v>-1700</v>
      </c>
      <c r="H969" t="s">
        <v>147</v>
      </c>
      <c r="I969" t="s">
        <v>148</v>
      </c>
    </row>
    <row r="970" spans="1:9">
      <c r="A970" s="50">
        <v>45742</v>
      </c>
      <c r="B970" s="51">
        <v>0.428900462962963</v>
      </c>
      <c r="C970" t="s">
        <v>145</v>
      </c>
      <c r="D970" t="s">
        <v>42</v>
      </c>
      <c r="E970" t="s">
        <v>47</v>
      </c>
      <c r="F970" t="s">
        <v>158</v>
      </c>
      <c r="G970">
        <v>-80000</v>
      </c>
      <c r="H970" t="s">
        <v>147</v>
      </c>
      <c r="I970" t="s">
        <v>57</v>
      </c>
    </row>
    <row r="971" spans="1:9">
      <c r="A971" s="50">
        <v>45742</v>
      </c>
      <c r="B971" s="51">
        <v>0.3349421296296296</v>
      </c>
      <c r="C971" t="s">
        <v>145</v>
      </c>
      <c r="D971" t="s">
        <v>42</v>
      </c>
      <c r="E971" t="s">
        <v>47</v>
      </c>
      <c r="F971" t="s">
        <v>153</v>
      </c>
      <c r="G971">
        <v>-17700</v>
      </c>
      <c r="H971" t="s">
        <v>147</v>
      </c>
      <c r="I971" t="s">
        <v>154</v>
      </c>
    </row>
    <row r="972" spans="1:9">
      <c r="A972" s="50">
        <v>45742</v>
      </c>
      <c r="B972" s="51">
        <v>0.3162847222222222</v>
      </c>
      <c r="C972" t="s">
        <v>145</v>
      </c>
      <c r="D972" t="s">
        <v>42</v>
      </c>
      <c r="E972" t="s">
        <v>47</v>
      </c>
      <c r="F972" t="s">
        <v>219</v>
      </c>
      <c r="G972">
        <v>-52860</v>
      </c>
      <c r="H972" t="s">
        <v>147</v>
      </c>
      <c r="I972" t="s">
        <v>148</v>
      </c>
    </row>
    <row r="973" spans="1:9">
      <c r="A973" s="50">
        <v>45742</v>
      </c>
      <c r="B973" s="51">
        <v>0.2916666666666667</v>
      </c>
      <c r="C973" t="s">
        <v>145</v>
      </c>
      <c r="D973" t="s">
        <v>34</v>
      </c>
      <c r="E973" t="s">
        <v>47</v>
      </c>
      <c r="F973" t="s">
        <v>146</v>
      </c>
      <c r="G973">
        <v>-1700</v>
      </c>
      <c r="H973" t="s">
        <v>147</v>
      </c>
      <c r="I973" t="s">
        <v>148</v>
      </c>
    </row>
    <row r="974" spans="1:9">
      <c r="A974" s="50">
        <v>45741</v>
      </c>
      <c r="B974" s="51">
        <v>0.8075462962962963</v>
      </c>
      <c r="C974" t="s">
        <v>145</v>
      </c>
      <c r="D974" t="s">
        <v>35</v>
      </c>
      <c r="E974" t="s">
        <v>207</v>
      </c>
      <c r="F974" t="s">
        <v>208</v>
      </c>
      <c r="G974">
        <v>-2775</v>
      </c>
      <c r="H974" t="s">
        <v>147</v>
      </c>
      <c r="I974" t="s">
        <v>57</v>
      </c>
    </row>
    <row r="975" spans="1:9">
      <c r="A975" s="50">
        <v>45741</v>
      </c>
      <c r="B975" s="51">
        <v>0.8075462962962963</v>
      </c>
      <c r="C975" t="s">
        <v>145</v>
      </c>
      <c r="D975" t="s">
        <v>35</v>
      </c>
      <c r="E975" t="s">
        <v>204</v>
      </c>
      <c r="F975" t="s">
        <v>485</v>
      </c>
      <c r="G975">
        <v>-32200</v>
      </c>
      <c r="H975" t="s">
        <v>147</v>
      </c>
      <c r="I975" t="s">
        <v>57</v>
      </c>
    </row>
    <row r="976" spans="1:9">
      <c r="A976" s="50">
        <v>45741</v>
      </c>
      <c r="B976" s="51">
        <v>0.7778472222222222</v>
      </c>
      <c r="C976" t="s">
        <v>151</v>
      </c>
      <c r="D976" t="s">
        <v>198</v>
      </c>
      <c r="E976" t="s">
        <v>47</v>
      </c>
      <c r="F976" t="s">
        <v>211</v>
      </c>
      <c r="G976">
        <v>-50000</v>
      </c>
      <c r="H976" t="s">
        <v>147</v>
      </c>
      <c r="I976" t="s">
        <v>57</v>
      </c>
    </row>
    <row r="977" spans="1:9">
      <c r="A977" s="50">
        <v>45741</v>
      </c>
      <c r="B977" s="51">
        <v>0.7747453703703704</v>
      </c>
      <c r="C977" t="s">
        <v>145</v>
      </c>
      <c r="D977" t="s">
        <v>42</v>
      </c>
      <c r="E977" t="s">
        <v>47</v>
      </c>
      <c r="F977" t="s">
        <v>486</v>
      </c>
      <c r="G977">
        <v>-45000</v>
      </c>
      <c r="H977" t="s">
        <v>147</v>
      </c>
      <c r="I977" t="s">
        <v>57</v>
      </c>
    </row>
    <row r="978" spans="1:9">
      <c r="A978" s="50">
        <v>45741</v>
      </c>
      <c r="B978" s="51">
        <v>0.7343171296296296</v>
      </c>
      <c r="C978" t="s">
        <v>145</v>
      </c>
      <c r="D978" t="s">
        <v>34</v>
      </c>
      <c r="E978" t="s">
        <v>47</v>
      </c>
      <c r="F978" t="s">
        <v>146</v>
      </c>
      <c r="G978">
        <v>-1700</v>
      </c>
      <c r="H978" t="s">
        <v>147</v>
      </c>
      <c r="I978" t="s">
        <v>148</v>
      </c>
    </row>
    <row r="979" spans="1:9">
      <c r="A979" s="50">
        <v>45741</v>
      </c>
      <c r="B979" s="51">
        <v>0.3964351851851852</v>
      </c>
      <c r="C979" t="s">
        <v>151</v>
      </c>
      <c r="D979" t="s">
        <v>160</v>
      </c>
      <c r="E979" t="s">
        <v>47</v>
      </c>
      <c r="F979" t="s">
        <v>7</v>
      </c>
      <c r="G979">
        <v>-500000</v>
      </c>
      <c r="H979" t="s">
        <v>147</v>
      </c>
      <c r="I979" t="s">
        <v>57</v>
      </c>
    </row>
    <row r="980" spans="1:9">
      <c r="A980" s="50">
        <v>45741</v>
      </c>
      <c r="B980" s="51">
        <v>0.3964351851851852</v>
      </c>
      <c r="C980" t="s">
        <v>151</v>
      </c>
      <c r="D980" t="s">
        <v>160</v>
      </c>
      <c r="E980" t="s">
        <v>47</v>
      </c>
      <c r="F980" t="s">
        <v>7</v>
      </c>
      <c r="G980">
        <v>500000</v>
      </c>
      <c r="H980" t="s">
        <v>147</v>
      </c>
      <c r="I980" t="s">
        <v>61</v>
      </c>
    </row>
    <row r="981" spans="1:9">
      <c r="A981" s="50">
        <v>45741</v>
      </c>
      <c r="B981" s="51">
        <v>0.3634953703703704</v>
      </c>
      <c r="C981" t="s">
        <v>151</v>
      </c>
      <c r="D981" t="s">
        <v>198</v>
      </c>
      <c r="E981" t="s">
        <v>47</v>
      </c>
      <c r="F981" t="s">
        <v>213</v>
      </c>
      <c r="G981">
        <v>1721310</v>
      </c>
      <c r="H981" t="s">
        <v>147</v>
      </c>
      <c r="I981" t="s">
        <v>57</v>
      </c>
    </row>
    <row r="982" spans="1:9">
      <c r="A982" s="50">
        <v>45741</v>
      </c>
      <c r="B982" s="51">
        <v>0.2942361111111111</v>
      </c>
      <c r="C982" t="s">
        <v>145</v>
      </c>
      <c r="D982" t="s">
        <v>34</v>
      </c>
      <c r="E982" t="s">
        <v>47</v>
      </c>
      <c r="F982" t="s">
        <v>146</v>
      </c>
      <c r="G982">
        <v>-1700</v>
      </c>
      <c r="H982" t="s">
        <v>147</v>
      </c>
      <c r="I982" t="s">
        <v>148</v>
      </c>
    </row>
    <row r="983" spans="1:9">
      <c r="A983" s="50">
        <v>45741</v>
      </c>
      <c r="B983" s="51">
        <v>0.2267361111111111</v>
      </c>
      <c r="C983" t="s">
        <v>151</v>
      </c>
      <c r="D983" t="s">
        <v>198</v>
      </c>
      <c r="E983" t="s">
        <v>47</v>
      </c>
      <c r="F983" t="s">
        <v>214</v>
      </c>
      <c r="G983">
        <v>-100000</v>
      </c>
      <c r="H983" t="s">
        <v>147</v>
      </c>
      <c r="I983" t="s">
        <v>57</v>
      </c>
    </row>
    <row r="984" spans="1:9">
      <c r="A984" s="50">
        <v>45741</v>
      </c>
      <c r="B984" s="51">
        <v>0</v>
      </c>
      <c r="C984" t="s">
        <v>145</v>
      </c>
      <c r="D984" t="s">
        <v>47</v>
      </c>
      <c r="E984" t="s">
        <v>47</v>
      </c>
      <c r="F984" t="s">
        <v>487</v>
      </c>
      <c r="G984">
        <v>-1300</v>
      </c>
      <c r="H984" t="s">
        <v>147</v>
      </c>
      <c r="I984" t="s">
        <v>148</v>
      </c>
    </row>
    <row r="985" spans="1:9">
      <c r="A985" s="50">
        <v>45741</v>
      </c>
      <c r="B985" s="51">
        <v>0</v>
      </c>
      <c r="C985" t="s">
        <v>145</v>
      </c>
      <c r="D985" t="s">
        <v>47</v>
      </c>
      <c r="E985" t="s">
        <v>47</v>
      </c>
      <c r="F985" t="s">
        <v>255</v>
      </c>
      <c r="G985">
        <v>-900</v>
      </c>
      <c r="H985" t="s">
        <v>147</v>
      </c>
      <c r="I985" t="s">
        <v>148</v>
      </c>
    </row>
    <row r="986" spans="1:9">
      <c r="A986" s="50">
        <v>45741</v>
      </c>
      <c r="B986" s="51">
        <v>0</v>
      </c>
      <c r="C986" t="s">
        <v>145</v>
      </c>
      <c r="D986" t="s">
        <v>47</v>
      </c>
      <c r="E986" t="s">
        <v>47</v>
      </c>
      <c r="F986" t="s">
        <v>255</v>
      </c>
      <c r="G986">
        <v>-1000</v>
      </c>
      <c r="H986" t="s">
        <v>147</v>
      </c>
      <c r="I986" t="s">
        <v>148</v>
      </c>
    </row>
    <row r="987" spans="1:9">
      <c r="A987" s="50">
        <v>45741</v>
      </c>
      <c r="B987" s="51">
        <v>0</v>
      </c>
      <c r="C987" t="s">
        <v>145</v>
      </c>
      <c r="D987" t="s">
        <v>47</v>
      </c>
      <c r="E987" t="s">
        <v>47</v>
      </c>
      <c r="F987" t="s">
        <v>487</v>
      </c>
      <c r="G987">
        <v>-1300</v>
      </c>
      <c r="H987" t="s">
        <v>147</v>
      </c>
      <c r="I987" t="s">
        <v>148</v>
      </c>
    </row>
    <row r="988" spans="1:9">
      <c r="A988" s="50">
        <v>45741</v>
      </c>
      <c r="B988" s="51">
        <v>0</v>
      </c>
      <c r="C988" t="s">
        <v>145</v>
      </c>
      <c r="D988" t="s">
        <v>47</v>
      </c>
      <c r="E988" t="s">
        <v>47</v>
      </c>
      <c r="F988" t="s">
        <v>255</v>
      </c>
      <c r="G988">
        <v>-900</v>
      </c>
      <c r="H988" t="s">
        <v>147</v>
      </c>
      <c r="I988" t="s">
        <v>148</v>
      </c>
    </row>
    <row r="989" spans="1:9">
      <c r="A989" s="50">
        <v>45740</v>
      </c>
      <c r="B989" s="51">
        <v>0.6676620370370371</v>
      </c>
      <c r="C989" t="s">
        <v>145</v>
      </c>
      <c r="D989" t="s">
        <v>42</v>
      </c>
      <c r="E989" t="s">
        <v>47</v>
      </c>
      <c r="F989" t="s">
        <v>153</v>
      </c>
      <c r="G989">
        <v>-39900</v>
      </c>
      <c r="H989" t="s">
        <v>147</v>
      </c>
      <c r="I989" t="s">
        <v>154</v>
      </c>
    </row>
    <row r="990" spans="1:9">
      <c r="A990" s="50">
        <v>45740</v>
      </c>
      <c r="B990" s="51">
        <v>0.6676620370370371</v>
      </c>
      <c r="C990" t="s">
        <v>151</v>
      </c>
      <c r="D990" t="s">
        <v>160</v>
      </c>
      <c r="E990" t="s">
        <v>47</v>
      </c>
      <c r="F990" t="s">
        <v>163</v>
      </c>
      <c r="G990">
        <v>-30688</v>
      </c>
      <c r="H990" t="s">
        <v>147</v>
      </c>
      <c r="I990" t="s">
        <v>57</v>
      </c>
    </row>
    <row r="991" spans="1:9">
      <c r="A991" s="50">
        <v>45740</v>
      </c>
      <c r="B991" s="51">
        <v>0.6676620370370371</v>
      </c>
      <c r="C991" t="s">
        <v>151</v>
      </c>
      <c r="D991" t="s">
        <v>160</v>
      </c>
      <c r="E991" t="s">
        <v>47</v>
      </c>
      <c r="F991" t="s">
        <v>161</v>
      </c>
      <c r="G991">
        <v>30688</v>
      </c>
      <c r="H991" t="s">
        <v>147</v>
      </c>
      <c r="I991" t="s">
        <v>162</v>
      </c>
    </row>
    <row r="992" spans="1:9">
      <c r="A992" s="50">
        <v>45740</v>
      </c>
      <c r="B992" s="51">
        <v>0.6117824074074074</v>
      </c>
      <c r="C992" t="s">
        <v>145</v>
      </c>
      <c r="D992" t="s">
        <v>34</v>
      </c>
      <c r="E992" t="s">
        <v>47</v>
      </c>
      <c r="F992" t="s">
        <v>146</v>
      </c>
      <c r="G992">
        <v>-1700</v>
      </c>
      <c r="H992" t="s">
        <v>147</v>
      </c>
      <c r="I992" t="s">
        <v>148</v>
      </c>
    </row>
    <row r="993" spans="1:9">
      <c r="A993" s="50">
        <v>45740</v>
      </c>
      <c r="B993" s="51">
        <v>0.5633333333333334</v>
      </c>
      <c r="C993" t="s">
        <v>145</v>
      </c>
      <c r="D993" t="s">
        <v>34</v>
      </c>
      <c r="E993" t="s">
        <v>47</v>
      </c>
      <c r="F993" t="s">
        <v>488</v>
      </c>
      <c r="G993">
        <v>-2800</v>
      </c>
      <c r="H993" t="s">
        <v>147</v>
      </c>
      <c r="I993" t="s">
        <v>148</v>
      </c>
    </row>
    <row r="994" spans="1:9">
      <c r="A994" s="50">
        <v>45740</v>
      </c>
      <c r="B994" s="51">
        <v>0.5152314814814815</v>
      </c>
      <c r="C994" t="s">
        <v>145</v>
      </c>
      <c r="D994" t="s">
        <v>38</v>
      </c>
      <c r="E994" t="s">
        <v>47</v>
      </c>
      <c r="F994" t="s">
        <v>489</v>
      </c>
      <c r="G994">
        <v>-2500</v>
      </c>
      <c r="H994" t="s">
        <v>147</v>
      </c>
      <c r="I994" t="s">
        <v>148</v>
      </c>
    </row>
    <row r="995" spans="1:9">
      <c r="A995" s="50">
        <v>45740</v>
      </c>
      <c r="B995" s="51">
        <v>0.3757407407407408</v>
      </c>
      <c r="C995" t="s">
        <v>145</v>
      </c>
      <c r="D995" t="s">
        <v>42</v>
      </c>
      <c r="E995" t="s">
        <v>47</v>
      </c>
      <c r="F995" t="s">
        <v>153</v>
      </c>
      <c r="G995">
        <v>-3900</v>
      </c>
      <c r="H995" t="s">
        <v>147</v>
      </c>
      <c r="I995" t="s">
        <v>154</v>
      </c>
    </row>
    <row r="996" spans="1:9">
      <c r="A996" s="50">
        <v>45740</v>
      </c>
      <c r="B996" s="51">
        <v>0.3757407407407408</v>
      </c>
      <c r="C996" t="s">
        <v>151</v>
      </c>
      <c r="D996" t="s">
        <v>160</v>
      </c>
      <c r="E996" t="s">
        <v>47</v>
      </c>
      <c r="F996" t="s">
        <v>163</v>
      </c>
      <c r="G996">
        <v>-10000</v>
      </c>
      <c r="H996" t="s">
        <v>147</v>
      </c>
      <c r="I996" t="s">
        <v>57</v>
      </c>
    </row>
    <row r="997" spans="1:9">
      <c r="A997" s="50">
        <v>45740</v>
      </c>
      <c r="B997" s="51">
        <v>0.3757407407407408</v>
      </c>
      <c r="C997" t="s">
        <v>151</v>
      </c>
      <c r="D997" t="s">
        <v>160</v>
      </c>
      <c r="E997" t="s">
        <v>47</v>
      </c>
      <c r="F997" t="s">
        <v>161</v>
      </c>
      <c r="G997">
        <v>10000</v>
      </c>
      <c r="H997" t="s">
        <v>147</v>
      </c>
      <c r="I997" t="s">
        <v>162</v>
      </c>
    </row>
    <row r="998" spans="1:9">
      <c r="A998" s="50">
        <v>45740</v>
      </c>
      <c r="B998" s="51">
        <v>0.02811342592592593</v>
      </c>
      <c r="C998" t="s">
        <v>151</v>
      </c>
      <c r="D998" t="s">
        <v>198</v>
      </c>
      <c r="E998" t="s">
        <v>47</v>
      </c>
      <c r="F998" t="s">
        <v>480</v>
      </c>
      <c r="G998">
        <v>50000</v>
      </c>
      <c r="H998" t="s">
        <v>147</v>
      </c>
      <c r="I998" t="s">
        <v>57</v>
      </c>
    </row>
    <row r="999" spans="1:9">
      <c r="A999" s="50">
        <v>45739</v>
      </c>
      <c r="B999" s="51">
        <v>0.6052893518518518</v>
      </c>
      <c r="C999" t="s">
        <v>145</v>
      </c>
      <c r="D999" t="s">
        <v>36</v>
      </c>
      <c r="E999" t="s">
        <v>47</v>
      </c>
      <c r="F999" t="s">
        <v>490</v>
      </c>
      <c r="G999">
        <v>-20000</v>
      </c>
      <c r="H999" t="s">
        <v>147</v>
      </c>
      <c r="I999" t="s">
        <v>148</v>
      </c>
    </row>
    <row r="1000" spans="1:9">
      <c r="A1000" s="50">
        <v>45738</v>
      </c>
      <c r="B1000" s="51">
        <v>0.7751851851851852</v>
      </c>
      <c r="C1000" t="s">
        <v>145</v>
      </c>
      <c r="D1000" t="s">
        <v>34</v>
      </c>
      <c r="E1000" t="s">
        <v>47</v>
      </c>
      <c r="F1000" t="s">
        <v>146</v>
      </c>
      <c r="G1000">
        <v>-1700</v>
      </c>
      <c r="H1000" t="s">
        <v>147</v>
      </c>
      <c r="I1000" t="s">
        <v>148</v>
      </c>
    </row>
    <row r="1001" spans="1:9">
      <c r="A1001" s="50">
        <v>45738</v>
      </c>
      <c r="B1001" s="51">
        <v>0.7139583333333334</v>
      </c>
      <c r="C1001" t="s">
        <v>145</v>
      </c>
      <c r="D1001" t="s">
        <v>34</v>
      </c>
      <c r="E1001" t="s">
        <v>47</v>
      </c>
      <c r="F1001" t="s">
        <v>244</v>
      </c>
      <c r="G1001">
        <v>-1200</v>
      </c>
      <c r="H1001" t="s">
        <v>147</v>
      </c>
      <c r="I1001" t="s">
        <v>148</v>
      </c>
    </row>
    <row r="1002" spans="1:9">
      <c r="A1002" s="50">
        <v>45738</v>
      </c>
      <c r="B1002" s="51">
        <v>0.6733796296296296</v>
      </c>
      <c r="C1002" t="s">
        <v>145</v>
      </c>
      <c r="D1002" t="s">
        <v>42</v>
      </c>
      <c r="E1002" t="s">
        <v>47</v>
      </c>
      <c r="F1002" t="s">
        <v>159</v>
      </c>
      <c r="G1002">
        <v>-13720</v>
      </c>
      <c r="H1002" t="s">
        <v>147</v>
      </c>
      <c r="I1002" t="s">
        <v>148</v>
      </c>
    </row>
    <row r="1003" spans="1:9">
      <c r="A1003" s="50">
        <v>45738</v>
      </c>
      <c r="B1003" s="51">
        <v>0.3093981481481481</v>
      </c>
      <c r="C1003" t="s">
        <v>151</v>
      </c>
      <c r="D1003" t="s">
        <v>151</v>
      </c>
      <c r="E1003" t="s">
        <v>47</v>
      </c>
      <c r="F1003" t="s">
        <v>392</v>
      </c>
      <c r="G1003">
        <v>-500000</v>
      </c>
      <c r="H1003" t="s">
        <v>147</v>
      </c>
      <c r="I1003" t="s">
        <v>61</v>
      </c>
    </row>
    <row r="1004" spans="1:9">
      <c r="A1004" s="50">
        <v>45738</v>
      </c>
      <c r="B1004" s="51">
        <v>0.3089930555555556</v>
      </c>
      <c r="C1004" t="s">
        <v>151</v>
      </c>
      <c r="D1004" t="s">
        <v>160</v>
      </c>
      <c r="E1004" t="s">
        <v>47</v>
      </c>
      <c r="F1004" t="s">
        <v>7</v>
      </c>
      <c r="G1004">
        <v>-200000</v>
      </c>
      <c r="H1004" t="s">
        <v>147</v>
      </c>
      <c r="I1004" t="s">
        <v>61</v>
      </c>
    </row>
    <row r="1005" spans="1:9">
      <c r="A1005" s="50">
        <v>45738</v>
      </c>
      <c r="B1005" s="51">
        <v>0.3089930555555556</v>
      </c>
      <c r="C1005" t="s">
        <v>151</v>
      </c>
      <c r="D1005" t="s">
        <v>160</v>
      </c>
      <c r="E1005" t="s">
        <v>47</v>
      </c>
      <c r="F1005" t="s">
        <v>7</v>
      </c>
      <c r="G1005">
        <v>200000</v>
      </c>
      <c r="H1005" t="s">
        <v>147</v>
      </c>
      <c r="I1005" t="s">
        <v>57</v>
      </c>
    </row>
    <row r="1006" spans="1:9">
      <c r="A1006" s="50">
        <v>45738</v>
      </c>
      <c r="B1006" s="51">
        <v>0.2931944444444444</v>
      </c>
      <c r="C1006" t="s">
        <v>145</v>
      </c>
      <c r="D1006" t="s">
        <v>34</v>
      </c>
      <c r="E1006" t="s">
        <v>47</v>
      </c>
      <c r="F1006" t="s">
        <v>146</v>
      </c>
      <c r="G1006">
        <v>-1700</v>
      </c>
      <c r="H1006" t="s">
        <v>147</v>
      </c>
      <c r="I1006" t="s">
        <v>148</v>
      </c>
    </row>
    <row r="1007" spans="1:9">
      <c r="A1007" s="50">
        <v>45737</v>
      </c>
      <c r="B1007" s="51">
        <v>0.7721759259259259</v>
      </c>
      <c r="C1007" t="s">
        <v>145</v>
      </c>
      <c r="D1007" t="s">
        <v>36</v>
      </c>
      <c r="E1007" t="s">
        <v>47</v>
      </c>
      <c r="F1007" t="s">
        <v>245</v>
      </c>
      <c r="G1007">
        <v>-54000</v>
      </c>
      <c r="H1007" t="s">
        <v>147</v>
      </c>
      <c r="I1007" t="s">
        <v>165</v>
      </c>
    </row>
    <row r="1008" spans="1:9">
      <c r="A1008" s="50">
        <v>45737</v>
      </c>
      <c r="B1008" s="51">
        <v>0.7640625</v>
      </c>
      <c r="C1008" t="s">
        <v>145</v>
      </c>
      <c r="D1008" t="s">
        <v>44</v>
      </c>
      <c r="E1008" t="s">
        <v>220</v>
      </c>
      <c r="F1008" t="s">
        <v>221</v>
      </c>
      <c r="G1008">
        <v>-82020</v>
      </c>
      <c r="H1008" t="s">
        <v>147</v>
      </c>
      <c r="I1008" t="s">
        <v>57</v>
      </c>
    </row>
    <row r="1009" spans="1:9">
      <c r="A1009" s="50">
        <v>45737</v>
      </c>
      <c r="B1009" s="51">
        <v>0.7556828703703704</v>
      </c>
      <c r="C1009" t="s">
        <v>145</v>
      </c>
      <c r="D1009" t="s">
        <v>34</v>
      </c>
      <c r="E1009" t="s">
        <v>47</v>
      </c>
      <c r="F1009" t="s">
        <v>146</v>
      </c>
      <c r="G1009">
        <v>-200</v>
      </c>
      <c r="H1009" t="s">
        <v>147</v>
      </c>
      <c r="I1009" t="s">
        <v>148</v>
      </c>
    </row>
    <row r="1010" spans="1:9">
      <c r="A1010" s="50">
        <v>45737</v>
      </c>
      <c r="B1010" s="51">
        <v>0.7436458333333333</v>
      </c>
      <c r="C1010" t="s">
        <v>145</v>
      </c>
      <c r="D1010" t="s">
        <v>34</v>
      </c>
      <c r="E1010" t="s">
        <v>47</v>
      </c>
      <c r="F1010" t="s">
        <v>244</v>
      </c>
      <c r="G1010">
        <v>-1500</v>
      </c>
      <c r="H1010" t="s">
        <v>147</v>
      </c>
      <c r="I1010" t="s">
        <v>148</v>
      </c>
    </row>
    <row r="1011" spans="1:9">
      <c r="A1011" s="50">
        <v>45737</v>
      </c>
      <c r="B1011" s="51">
        <v>0.7149189814814815</v>
      </c>
      <c r="C1011" t="s">
        <v>151</v>
      </c>
      <c r="D1011" t="s">
        <v>160</v>
      </c>
      <c r="E1011" t="s">
        <v>47</v>
      </c>
      <c r="F1011" t="s">
        <v>7</v>
      </c>
      <c r="G1011">
        <v>50000</v>
      </c>
      <c r="H1011" t="s">
        <v>147</v>
      </c>
      <c r="I1011" t="s">
        <v>57</v>
      </c>
    </row>
    <row r="1012" spans="1:9">
      <c r="A1012" s="50">
        <v>45737</v>
      </c>
      <c r="B1012" s="51">
        <v>0.6522685185185185</v>
      </c>
      <c r="C1012" t="s">
        <v>145</v>
      </c>
      <c r="D1012" t="s">
        <v>34</v>
      </c>
      <c r="E1012" t="s">
        <v>47</v>
      </c>
      <c r="F1012" t="s">
        <v>244</v>
      </c>
      <c r="G1012">
        <v>-1500</v>
      </c>
      <c r="H1012" t="s">
        <v>147</v>
      </c>
      <c r="I1012" t="s">
        <v>148</v>
      </c>
    </row>
    <row r="1013" spans="1:9">
      <c r="A1013" s="50">
        <v>45737</v>
      </c>
      <c r="B1013" s="51">
        <v>0.2880324074074074</v>
      </c>
      <c r="C1013" t="s">
        <v>145</v>
      </c>
      <c r="D1013" t="s">
        <v>34</v>
      </c>
      <c r="E1013" t="s">
        <v>47</v>
      </c>
      <c r="F1013" t="s">
        <v>146</v>
      </c>
      <c r="G1013">
        <v>-1700</v>
      </c>
      <c r="H1013" t="s">
        <v>147</v>
      </c>
      <c r="I1013" t="s">
        <v>148</v>
      </c>
    </row>
    <row r="1014" spans="1:9">
      <c r="A1014" s="50">
        <v>45736</v>
      </c>
      <c r="B1014" s="51">
        <v>0.9320717592592592</v>
      </c>
      <c r="C1014" t="s">
        <v>145</v>
      </c>
      <c r="D1014" t="s">
        <v>42</v>
      </c>
      <c r="E1014" t="s">
        <v>47</v>
      </c>
      <c r="F1014" t="s">
        <v>159</v>
      </c>
      <c r="G1014">
        <v>-47330</v>
      </c>
      <c r="H1014" t="s">
        <v>147</v>
      </c>
      <c r="I1014" t="s">
        <v>148</v>
      </c>
    </row>
    <row r="1015" spans="1:9">
      <c r="A1015" s="50">
        <v>45736</v>
      </c>
      <c r="B1015" s="51">
        <v>0.9318981481481482</v>
      </c>
      <c r="C1015" t="s">
        <v>151</v>
      </c>
      <c r="D1015" t="s">
        <v>160</v>
      </c>
      <c r="E1015" t="s">
        <v>47</v>
      </c>
      <c r="F1015" t="s">
        <v>7</v>
      </c>
      <c r="G1015">
        <v>-100000</v>
      </c>
      <c r="H1015" t="s">
        <v>147</v>
      </c>
      <c r="I1015" t="s">
        <v>61</v>
      </c>
    </row>
    <row r="1016" spans="1:9">
      <c r="A1016" s="50">
        <v>45736</v>
      </c>
      <c r="B1016" s="51">
        <v>0.9318981481481482</v>
      </c>
      <c r="C1016" t="s">
        <v>151</v>
      </c>
      <c r="D1016" t="s">
        <v>160</v>
      </c>
      <c r="E1016" t="s">
        <v>47</v>
      </c>
      <c r="F1016" t="s">
        <v>7</v>
      </c>
      <c r="G1016">
        <v>100000</v>
      </c>
      <c r="H1016" t="s">
        <v>147</v>
      </c>
      <c r="I1016" t="s">
        <v>57</v>
      </c>
    </row>
    <row r="1017" spans="1:9">
      <c r="A1017" s="50">
        <v>45736</v>
      </c>
      <c r="B1017" s="51">
        <v>0.7883449074074074</v>
      </c>
      <c r="C1017" t="s">
        <v>145</v>
      </c>
      <c r="D1017" t="s">
        <v>35</v>
      </c>
      <c r="E1017" t="s">
        <v>204</v>
      </c>
      <c r="F1017" t="s">
        <v>491</v>
      </c>
      <c r="G1017">
        <v>-99360</v>
      </c>
      <c r="H1017" t="s">
        <v>147</v>
      </c>
      <c r="I1017" t="s">
        <v>57</v>
      </c>
    </row>
    <row r="1018" spans="1:9">
      <c r="A1018" s="50">
        <v>45736</v>
      </c>
      <c r="B1018" s="51">
        <v>0.7359259259259259</v>
      </c>
      <c r="C1018" t="s">
        <v>145</v>
      </c>
      <c r="D1018" t="s">
        <v>34</v>
      </c>
      <c r="E1018" t="s">
        <v>47</v>
      </c>
      <c r="F1018" t="s">
        <v>146</v>
      </c>
      <c r="G1018">
        <v>-1700</v>
      </c>
      <c r="H1018" t="s">
        <v>147</v>
      </c>
      <c r="I1018" t="s">
        <v>148</v>
      </c>
    </row>
    <row r="1019" spans="1:9">
      <c r="A1019" s="50">
        <v>45736</v>
      </c>
      <c r="B1019" s="51">
        <v>0.2995601851851852</v>
      </c>
      <c r="C1019" t="s">
        <v>145</v>
      </c>
      <c r="D1019" t="s">
        <v>42</v>
      </c>
      <c r="E1019" t="s">
        <v>47</v>
      </c>
      <c r="F1019" t="s">
        <v>170</v>
      </c>
      <c r="G1019">
        <v>-27700</v>
      </c>
      <c r="H1019" t="s">
        <v>147</v>
      </c>
      <c r="I1019" t="s">
        <v>148</v>
      </c>
    </row>
    <row r="1020" spans="1:9">
      <c r="A1020" s="50">
        <v>45736</v>
      </c>
      <c r="B1020" s="51">
        <v>0.2891203703703704</v>
      </c>
      <c r="C1020" t="s">
        <v>145</v>
      </c>
      <c r="D1020" t="s">
        <v>34</v>
      </c>
      <c r="E1020" t="s">
        <v>47</v>
      </c>
      <c r="F1020" t="s">
        <v>146</v>
      </c>
      <c r="G1020">
        <v>-1700</v>
      </c>
      <c r="H1020" t="s">
        <v>147</v>
      </c>
      <c r="I1020" t="s">
        <v>148</v>
      </c>
    </row>
    <row r="1021" spans="1:9">
      <c r="A1021" s="50">
        <v>45735</v>
      </c>
      <c r="B1021" s="51">
        <v>0.6522916666666667</v>
      </c>
      <c r="C1021" t="s">
        <v>145</v>
      </c>
      <c r="D1021" t="s">
        <v>34</v>
      </c>
      <c r="E1021" t="s">
        <v>47</v>
      </c>
      <c r="F1021" t="s">
        <v>146</v>
      </c>
      <c r="G1021">
        <v>-1700</v>
      </c>
      <c r="H1021" t="s">
        <v>147</v>
      </c>
      <c r="I1021" t="s">
        <v>148</v>
      </c>
    </row>
    <row r="1022" spans="1:9">
      <c r="A1022" s="50">
        <v>45735</v>
      </c>
      <c r="B1022" s="51">
        <v>0.2920254629629629</v>
      </c>
      <c r="C1022" t="s">
        <v>145</v>
      </c>
      <c r="D1022" t="s">
        <v>34</v>
      </c>
      <c r="E1022" t="s">
        <v>47</v>
      </c>
      <c r="F1022" t="s">
        <v>146</v>
      </c>
      <c r="G1022">
        <v>-1700</v>
      </c>
      <c r="H1022" t="s">
        <v>147</v>
      </c>
      <c r="I1022" t="s">
        <v>148</v>
      </c>
    </row>
    <row r="1023" spans="1:9">
      <c r="A1023" s="50">
        <v>45734</v>
      </c>
      <c r="B1023" s="51">
        <v>0.9683449074074074</v>
      </c>
      <c r="C1023" t="s">
        <v>145</v>
      </c>
      <c r="D1023" t="s">
        <v>42</v>
      </c>
      <c r="E1023" t="s">
        <v>47</v>
      </c>
      <c r="F1023" t="s">
        <v>170</v>
      </c>
      <c r="G1023">
        <v>-10570</v>
      </c>
      <c r="H1023" t="s">
        <v>147</v>
      </c>
      <c r="I1023" t="s">
        <v>148</v>
      </c>
    </row>
    <row r="1024" spans="1:9">
      <c r="A1024" s="50">
        <v>45734</v>
      </c>
      <c r="B1024" s="51">
        <v>0.760150462962963</v>
      </c>
      <c r="C1024" t="s">
        <v>145</v>
      </c>
      <c r="D1024" t="s">
        <v>38</v>
      </c>
      <c r="E1024" t="s">
        <v>47</v>
      </c>
      <c r="F1024" t="s">
        <v>155</v>
      </c>
      <c r="G1024">
        <v>-13700</v>
      </c>
      <c r="H1024" t="s">
        <v>147</v>
      </c>
      <c r="I1024" t="s">
        <v>148</v>
      </c>
    </row>
    <row r="1025" spans="1:9">
      <c r="A1025" s="50">
        <v>45733</v>
      </c>
      <c r="B1025" s="51">
        <v>0.4530439814814815</v>
      </c>
      <c r="C1025" t="s">
        <v>145</v>
      </c>
      <c r="D1025" t="s">
        <v>42</v>
      </c>
      <c r="E1025" t="s">
        <v>47</v>
      </c>
      <c r="F1025" t="s">
        <v>300</v>
      </c>
      <c r="G1025">
        <v>-7890</v>
      </c>
      <c r="H1025" t="s">
        <v>147</v>
      </c>
      <c r="I1025" t="s">
        <v>148</v>
      </c>
    </row>
    <row r="1026" spans="1:9">
      <c r="A1026" s="50">
        <v>45732</v>
      </c>
      <c r="B1026" s="51">
        <v>0.8296064814814815</v>
      </c>
      <c r="C1026" t="s">
        <v>145</v>
      </c>
      <c r="D1026" t="s">
        <v>43</v>
      </c>
      <c r="E1026" t="s">
        <v>47</v>
      </c>
      <c r="F1026" t="s">
        <v>256</v>
      </c>
      <c r="G1026">
        <v>-11000</v>
      </c>
      <c r="H1026" t="s">
        <v>147</v>
      </c>
      <c r="I1026" t="s">
        <v>148</v>
      </c>
    </row>
    <row r="1027" spans="1:9">
      <c r="A1027" s="50">
        <v>45732</v>
      </c>
      <c r="B1027" s="51">
        <v>0.7335185185185186</v>
      </c>
      <c r="C1027" t="s">
        <v>145</v>
      </c>
      <c r="D1027" t="s">
        <v>42</v>
      </c>
      <c r="E1027" t="s">
        <v>47</v>
      </c>
      <c r="F1027" t="s">
        <v>159</v>
      </c>
      <c r="G1027">
        <v>-55870</v>
      </c>
      <c r="H1027" t="s">
        <v>147</v>
      </c>
      <c r="I1027" t="s">
        <v>148</v>
      </c>
    </row>
    <row r="1028" spans="1:9">
      <c r="A1028" s="50">
        <v>45732</v>
      </c>
      <c r="B1028" s="51">
        <v>0.6535069444444445</v>
      </c>
      <c r="C1028" t="s">
        <v>145</v>
      </c>
      <c r="D1028" t="s">
        <v>34</v>
      </c>
      <c r="E1028" t="s">
        <v>47</v>
      </c>
      <c r="F1028" t="s">
        <v>244</v>
      </c>
      <c r="G1028">
        <v>-1500</v>
      </c>
      <c r="H1028" t="s">
        <v>147</v>
      </c>
      <c r="I1028" t="s">
        <v>148</v>
      </c>
    </row>
    <row r="1029" spans="1:9">
      <c r="A1029" s="50">
        <v>45732</v>
      </c>
      <c r="B1029" s="51">
        <v>0.5625231481481482</v>
      </c>
      <c r="C1029" t="s">
        <v>145</v>
      </c>
      <c r="D1029" t="s">
        <v>42</v>
      </c>
      <c r="E1029" t="s">
        <v>47</v>
      </c>
      <c r="F1029" t="s">
        <v>224</v>
      </c>
      <c r="G1029">
        <v>-14900</v>
      </c>
      <c r="H1029" t="s">
        <v>147</v>
      </c>
      <c r="I1029" t="s">
        <v>154</v>
      </c>
    </row>
    <row r="1030" spans="1:9">
      <c r="A1030" s="50">
        <v>45732</v>
      </c>
      <c r="B1030" s="51">
        <v>0.5625231481481482</v>
      </c>
      <c r="C1030" t="s">
        <v>151</v>
      </c>
      <c r="D1030" t="s">
        <v>160</v>
      </c>
      <c r="E1030" t="s">
        <v>47</v>
      </c>
      <c r="F1030" t="s">
        <v>163</v>
      </c>
      <c r="G1030">
        <v>-10000</v>
      </c>
      <c r="H1030" t="s">
        <v>147</v>
      </c>
      <c r="I1030" t="s">
        <v>57</v>
      </c>
    </row>
    <row r="1031" spans="1:9">
      <c r="A1031" s="50">
        <v>45732</v>
      </c>
      <c r="B1031" s="51">
        <v>0.5625231481481482</v>
      </c>
      <c r="C1031" t="s">
        <v>151</v>
      </c>
      <c r="D1031" t="s">
        <v>160</v>
      </c>
      <c r="E1031" t="s">
        <v>47</v>
      </c>
      <c r="F1031" t="s">
        <v>161</v>
      </c>
      <c r="G1031">
        <v>10000</v>
      </c>
      <c r="H1031" t="s">
        <v>147</v>
      </c>
      <c r="I1031" t="s">
        <v>162</v>
      </c>
    </row>
    <row r="1032" spans="1:9">
      <c r="A1032" s="50">
        <v>45732</v>
      </c>
      <c r="B1032" s="51">
        <v>0.505162037037037</v>
      </c>
      <c r="C1032" t="s">
        <v>145</v>
      </c>
      <c r="D1032" t="s">
        <v>34</v>
      </c>
      <c r="E1032" t="s">
        <v>47</v>
      </c>
      <c r="F1032" t="s">
        <v>244</v>
      </c>
      <c r="G1032">
        <v>-1500</v>
      </c>
      <c r="H1032" t="s">
        <v>147</v>
      </c>
      <c r="I1032" t="s">
        <v>148</v>
      </c>
    </row>
    <row r="1033" spans="1:9">
      <c r="A1033" s="50">
        <v>45731</v>
      </c>
      <c r="B1033" s="51">
        <v>0.735011574074074</v>
      </c>
      <c r="C1033" t="s">
        <v>145</v>
      </c>
      <c r="D1033" t="s">
        <v>34</v>
      </c>
      <c r="E1033" t="s">
        <v>47</v>
      </c>
      <c r="F1033" t="s">
        <v>146</v>
      </c>
      <c r="G1033">
        <v>-1700</v>
      </c>
      <c r="H1033" t="s">
        <v>147</v>
      </c>
      <c r="I1033" t="s">
        <v>148</v>
      </c>
    </row>
    <row r="1034" spans="1:9">
      <c r="A1034" s="50">
        <v>45731</v>
      </c>
      <c r="B1034" s="51">
        <v>0.6682060185185185</v>
      </c>
      <c r="C1034" t="s">
        <v>145</v>
      </c>
      <c r="D1034" t="s">
        <v>45</v>
      </c>
      <c r="E1034" t="s">
        <v>47</v>
      </c>
      <c r="F1034" t="s">
        <v>492</v>
      </c>
      <c r="G1034">
        <v>-10000</v>
      </c>
      <c r="H1034" t="s">
        <v>147</v>
      </c>
      <c r="I1034" t="s">
        <v>148</v>
      </c>
    </row>
    <row r="1035" spans="1:9">
      <c r="A1035" s="50">
        <v>45731</v>
      </c>
      <c r="B1035" s="51">
        <v>0.6164120370370371</v>
      </c>
      <c r="C1035" t="s">
        <v>145</v>
      </c>
      <c r="D1035" t="s">
        <v>40</v>
      </c>
      <c r="E1035" t="s">
        <v>47</v>
      </c>
      <c r="F1035" t="s">
        <v>493</v>
      </c>
      <c r="G1035">
        <v>-165000</v>
      </c>
      <c r="H1035" t="s">
        <v>147</v>
      </c>
      <c r="I1035" t="s">
        <v>148</v>
      </c>
    </row>
    <row r="1036" spans="1:9">
      <c r="A1036" s="50">
        <v>45731</v>
      </c>
      <c r="B1036" s="51">
        <v>0.2876273148148148</v>
      </c>
      <c r="C1036" t="s">
        <v>145</v>
      </c>
      <c r="D1036" t="s">
        <v>34</v>
      </c>
      <c r="E1036" t="s">
        <v>47</v>
      </c>
      <c r="F1036" t="s">
        <v>146</v>
      </c>
      <c r="G1036">
        <v>-1700</v>
      </c>
      <c r="H1036" t="s">
        <v>147</v>
      </c>
      <c r="I1036" t="s">
        <v>148</v>
      </c>
    </row>
    <row r="1037" spans="1:9">
      <c r="A1037" s="50">
        <v>45731</v>
      </c>
      <c r="B1037" s="51">
        <v>0.04711805555555556</v>
      </c>
      <c r="C1037" t="s">
        <v>145</v>
      </c>
      <c r="D1037" t="s">
        <v>42</v>
      </c>
      <c r="E1037" t="s">
        <v>47</v>
      </c>
      <c r="F1037" t="s">
        <v>225</v>
      </c>
      <c r="G1037">
        <v>-1990</v>
      </c>
      <c r="H1037" t="s">
        <v>147</v>
      </c>
      <c r="I1037" t="s">
        <v>154</v>
      </c>
    </row>
    <row r="1038" spans="1:9">
      <c r="A1038" s="50">
        <v>45731</v>
      </c>
      <c r="B1038" s="51">
        <v>0.04711805555555556</v>
      </c>
      <c r="C1038" t="s">
        <v>151</v>
      </c>
      <c r="D1038" t="s">
        <v>160</v>
      </c>
      <c r="E1038" t="s">
        <v>47</v>
      </c>
      <c r="F1038" t="s">
        <v>163</v>
      </c>
      <c r="G1038">
        <v>-10000</v>
      </c>
      <c r="H1038" t="s">
        <v>147</v>
      </c>
      <c r="I1038" t="s">
        <v>57</v>
      </c>
    </row>
    <row r="1039" spans="1:9">
      <c r="A1039" s="50">
        <v>45731</v>
      </c>
      <c r="B1039" s="51">
        <v>0.04711805555555556</v>
      </c>
      <c r="C1039" t="s">
        <v>151</v>
      </c>
      <c r="D1039" t="s">
        <v>160</v>
      </c>
      <c r="E1039" t="s">
        <v>47</v>
      </c>
      <c r="F1039" t="s">
        <v>161</v>
      </c>
      <c r="G1039">
        <v>10000</v>
      </c>
      <c r="H1039" t="s">
        <v>147</v>
      </c>
      <c r="I1039" t="s">
        <v>162</v>
      </c>
    </row>
    <row r="1040" spans="1:9">
      <c r="A1040" s="50">
        <v>45730</v>
      </c>
      <c r="B1040" s="51">
        <v>0.9716782407407407</v>
      </c>
      <c r="C1040" t="s">
        <v>151</v>
      </c>
      <c r="D1040" t="s">
        <v>160</v>
      </c>
      <c r="E1040" t="s">
        <v>47</v>
      </c>
      <c r="F1040" t="s">
        <v>163</v>
      </c>
      <c r="G1040">
        <v>-40756</v>
      </c>
      <c r="H1040" t="s">
        <v>147</v>
      </c>
      <c r="I1040" t="s">
        <v>57</v>
      </c>
    </row>
    <row r="1041" spans="1:9">
      <c r="A1041" s="50">
        <v>45730</v>
      </c>
      <c r="B1041" s="51">
        <v>0.9716666666666667</v>
      </c>
      <c r="C1041" t="s">
        <v>145</v>
      </c>
      <c r="D1041" t="s">
        <v>42</v>
      </c>
      <c r="E1041" t="s">
        <v>47</v>
      </c>
      <c r="F1041" t="s">
        <v>153</v>
      </c>
      <c r="G1041">
        <v>-45756</v>
      </c>
      <c r="H1041" t="s">
        <v>147</v>
      </c>
      <c r="I1041" t="s">
        <v>154</v>
      </c>
    </row>
    <row r="1042" spans="1:9">
      <c r="A1042" s="50">
        <v>45730</v>
      </c>
      <c r="B1042" s="51">
        <v>0.9716666666666667</v>
      </c>
      <c r="C1042" t="s">
        <v>151</v>
      </c>
      <c r="D1042" t="s">
        <v>160</v>
      </c>
      <c r="E1042" t="s">
        <v>47</v>
      </c>
      <c r="F1042" t="s">
        <v>161</v>
      </c>
      <c r="G1042">
        <v>40756</v>
      </c>
      <c r="H1042" t="s">
        <v>147</v>
      </c>
      <c r="I1042" t="s">
        <v>162</v>
      </c>
    </row>
    <row r="1043" spans="1:9">
      <c r="A1043" s="50">
        <v>45730</v>
      </c>
      <c r="B1043" s="51">
        <v>0.8416782407407407</v>
      </c>
      <c r="C1043" t="s">
        <v>145</v>
      </c>
      <c r="D1043" t="s">
        <v>34</v>
      </c>
      <c r="E1043" t="s">
        <v>47</v>
      </c>
      <c r="F1043" t="s">
        <v>146</v>
      </c>
      <c r="G1043">
        <v>-200</v>
      </c>
      <c r="H1043" t="s">
        <v>147</v>
      </c>
      <c r="I1043" t="s">
        <v>148</v>
      </c>
    </row>
    <row r="1044" spans="1:9">
      <c r="A1044" s="50">
        <v>45730</v>
      </c>
      <c r="B1044" s="51">
        <v>0.826400462962963</v>
      </c>
      <c r="C1044" t="s">
        <v>145</v>
      </c>
      <c r="D1044" t="s">
        <v>34</v>
      </c>
      <c r="E1044" t="s">
        <v>47</v>
      </c>
      <c r="F1044" t="s">
        <v>244</v>
      </c>
      <c r="G1044">
        <v>-1500</v>
      </c>
      <c r="H1044" t="s">
        <v>147</v>
      </c>
      <c r="I1044" t="s">
        <v>148</v>
      </c>
    </row>
    <row r="1045" spans="1:9">
      <c r="A1045" s="50">
        <v>45730</v>
      </c>
      <c r="B1045" s="51">
        <v>0.7370138888888889</v>
      </c>
      <c r="C1045" t="s">
        <v>145</v>
      </c>
      <c r="D1045" t="s">
        <v>34</v>
      </c>
      <c r="E1045" t="s">
        <v>47</v>
      </c>
      <c r="F1045" t="s">
        <v>244</v>
      </c>
      <c r="G1045">
        <v>-1500</v>
      </c>
      <c r="H1045" t="s">
        <v>147</v>
      </c>
      <c r="I1045" t="s">
        <v>148</v>
      </c>
    </row>
    <row r="1046" spans="1:9">
      <c r="A1046" s="50">
        <v>45730</v>
      </c>
      <c r="B1046" s="51">
        <v>0.7168865740740741</v>
      </c>
      <c r="C1046" t="s">
        <v>145</v>
      </c>
      <c r="D1046" t="s">
        <v>36</v>
      </c>
      <c r="E1046" t="s">
        <v>47</v>
      </c>
      <c r="F1046" t="s">
        <v>262</v>
      </c>
      <c r="G1046">
        <v>-352000</v>
      </c>
      <c r="H1046" t="s">
        <v>147</v>
      </c>
      <c r="I1046" t="s">
        <v>61</v>
      </c>
    </row>
    <row r="1047" spans="1:9">
      <c r="A1047" s="50">
        <v>45730</v>
      </c>
      <c r="B1047" s="51">
        <v>0.5644097222222222</v>
      </c>
      <c r="C1047" t="s">
        <v>145</v>
      </c>
      <c r="D1047" t="s">
        <v>40</v>
      </c>
      <c r="E1047" t="s">
        <v>47</v>
      </c>
      <c r="F1047" t="s">
        <v>228</v>
      </c>
      <c r="G1047">
        <v>-51000</v>
      </c>
      <c r="H1047" t="s">
        <v>147</v>
      </c>
      <c r="I1047" t="s">
        <v>148</v>
      </c>
    </row>
    <row r="1048" spans="1:9">
      <c r="A1048" s="50">
        <v>45730</v>
      </c>
      <c r="B1048" s="51">
        <v>0.5253356481481481</v>
      </c>
      <c r="C1048" t="s">
        <v>151</v>
      </c>
      <c r="D1048" t="s">
        <v>151</v>
      </c>
      <c r="E1048" t="s">
        <v>47</v>
      </c>
      <c r="F1048" t="s">
        <v>494</v>
      </c>
      <c r="G1048">
        <v>-208101</v>
      </c>
      <c r="H1048" t="s">
        <v>147</v>
      </c>
      <c r="I1048" t="s">
        <v>61</v>
      </c>
    </row>
    <row r="1049" spans="1:9">
      <c r="A1049" s="50">
        <v>45730</v>
      </c>
      <c r="B1049" s="51">
        <v>0.2865509259259259</v>
      </c>
      <c r="C1049" t="s">
        <v>145</v>
      </c>
      <c r="D1049" t="s">
        <v>34</v>
      </c>
      <c r="E1049" t="s">
        <v>47</v>
      </c>
      <c r="F1049" t="s">
        <v>146</v>
      </c>
      <c r="G1049">
        <v>-1700</v>
      </c>
      <c r="H1049" t="s">
        <v>147</v>
      </c>
      <c r="I1049" t="s">
        <v>148</v>
      </c>
    </row>
    <row r="1050" spans="1:9">
      <c r="A1050" s="50">
        <v>45729</v>
      </c>
      <c r="B1050" s="51">
        <v>0.9492824074074074</v>
      </c>
      <c r="C1050" t="s">
        <v>145</v>
      </c>
      <c r="D1050" t="s">
        <v>42</v>
      </c>
      <c r="E1050" t="s">
        <v>47</v>
      </c>
      <c r="F1050" t="s">
        <v>170</v>
      </c>
      <c r="G1050">
        <v>-9800</v>
      </c>
      <c r="H1050" t="s">
        <v>147</v>
      </c>
      <c r="I1050" t="s">
        <v>148</v>
      </c>
    </row>
    <row r="1051" spans="1:9">
      <c r="A1051" s="50">
        <v>45729</v>
      </c>
      <c r="B1051" s="51">
        <v>0.8784143518518519</v>
      </c>
      <c r="C1051" t="s">
        <v>145</v>
      </c>
      <c r="D1051" t="s">
        <v>38</v>
      </c>
      <c r="E1051" t="s">
        <v>47</v>
      </c>
      <c r="F1051" t="s">
        <v>218</v>
      </c>
      <c r="G1051">
        <v>-22540</v>
      </c>
      <c r="H1051" t="s">
        <v>147</v>
      </c>
      <c r="I1051" t="s">
        <v>165</v>
      </c>
    </row>
    <row r="1052" spans="1:9">
      <c r="A1052" s="50">
        <v>45729</v>
      </c>
      <c r="B1052" s="51">
        <v>0.7368865740740741</v>
      </c>
      <c r="C1052" t="s">
        <v>145</v>
      </c>
      <c r="D1052" t="s">
        <v>34</v>
      </c>
      <c r="E1052" t="s">
        <v>47</v>
      </c>
      <c r="F1052" t="s">
        <v>146</v>
      </c>
      <c r="G1052">
        <v>-1700</v>
      </c>
      <c r="H1052" t="s">
        <v>147</v>
      </c>
      <c r="I1052" t="s">
        <v>148</v>
      </c>
    </row>
    <row r="1053" spans="1:9">
      <c r="A1053" s="50">
        <v>45729</v>
      </c>
      <c r="B1053" s="51">
        <v>0.3764583333333333</v>
      </c>
      <c r="C1053" t="s">
        <v>151</v>
      </c>
      <c r="D1053" t="s">
        <v>160</v>
      </c>
      <c r="E1053" t="s">
        <v>47</v>
      </c>
      <c r="F1053" t="s">
        <v>7</v>
      </c>
      <c r="G1053">
        <v>-100000</v>
      </c>
      <c r="H1053" t="s">
        <v>147</v>
      </c>
      <c r="I1053" t="s">
        <v>57</v>
      </c>
    </row>
    <row r="1054" spans="1:9">
      <c r="A1054" s="50">
        <v>45729</v>
      </c>
      <c r="B1054" s="51">
        <v>0.287650462962963</v>
      </c>
      <c r="C1054" t="s">
        <v>145</v>
      </c>
      <c r="D1054" t="s">
        <v>34</v>
      </c>
      <c r="E1054" t="s">
        <v>47</v>
      </c>
      <c r="F1054" t="s">
        <v>146</v>
      </c>
      <c r="G1054">
        <v>-1700</v>
      </c>
      <c r="H1054" t="s">
        <v>147</v>
      </c>
      <c r="I1054" t="s">
        <v>148</v>
      </c>
    </row>
    <row r="1055" spans="1:9">
      <c r="A1055" s="50">
        <v>45728</v>
      </c>
      <c r="B1055" s="51">
        <v>0.8656481481481482</v>
      </c>
      <c r="C1055" t="s">
        <v>145</v>
      </c>
      <c r="D1055" t="s">
        <v>38</v>
      </c>
      <c r="E1055" t="s">
        <v>47</v>
      </c>
      <c r="F1055" t="s">
        <v>203</v>
      </c>
      <c r="G1055">
        <v>-26080</v>
      </c>
      <c r="H1055" t="s">
        <v>147</v>
      </c>
      <c r="I1055" t="s">
        <v>165</v>
      </c>
    </row>
    <row r="1056" spans="1:9">
      <c r="A1056" s="50">
        <v>45728</v>
      </c>
      <c r="B1056" s="51">
        <v>0.7350347222222222</v>
      </c>
      <c r="C1056" t="s">
        <v>145</v>
      </c>
      <c r="D1056" t="s">
        <v>34</v>
      </c>
      <c r="E1056" t="s">
        <v>47</v>
      </c>
      <c r="F1056" t="s">
        <v>146</v>
      </c>
      <c r="G1056">
        <v>-1700</v>
      </c>
      <c r="H1056" t="s">
        <v>147</v>
      </c>
      <c r="I1056" t="s">
        <v>148</v>
      </c>
    </row>
    <row r="1057" spans="1:9">
      <c r="A1057" s="50">
        <v>45728</v>
      </c>
      <c r="B1057" s="51">
        <v>0.4875578703703703</v>
      </c>
      <c r="C1057" t="s">
        <v>151</v>
      </c>
      <c r="D1057" t="s">
        <v>160</v>
      </c>
      <c r="E1057" t="s">
        <v>47</v>
      </c>
      <c r="F1057" t="s">
        <v>163</v>
      </c>
      <c r="G1057">
        <v>-10000</v>
      </c>
      <c r="H1057" t="s">
        <v>147</v>
      </c>
      <c r="I1057" t="s">
        <v>57</v>
      </c>
    </row>
    <row r="1058" spans="1:9">
      <c r="A1058" s="50">
        <v>45728</v>
      </c>
      <c r="B1058" s="51">
        <v>0.4875578703703703</v>
      </c>
      <c r="C1058" t="s">
        <v>151</v>
      </c>
      <c r="D1058" t="s">
        <v>160</v>
      </c>
      <c r="E1058" t="s">
        <v>47</v>
      </c>
      <c r="F1058" t="s">
        <v>161</v>
      </c>
      <c r="G1058">
        <v>10000</v>
      </c>
      <c r="H1058" t="s">
        <v>147</v>
      </c>
      <c r="I1058" t="s">
        <v>162</v>
      </c>
    </row>
    <row r="1059" spans="1:9">
      <c r="A1059" s="50">
        <v>45728</v>
      </c>
      <c r="B1059" s="51">
        <v>0.3937037037037037</v>
      </c>
      <c r="C1059" t="s">
        <v>151</v>
      </c>
      <c r="D1059" t="s">
        <v>160</v>
      </c>
      <c r="E1059" t="s">
        <v>47</v>
      </c>
      <c r="F1059" t="s">
        <v>7</v>
      </c>
      <c r="G1059">
        <v>-1000000</v>
      </c>
      <c r="H1059" t="s">
        <v>147</v>
      </c>
      <c r="I1059" t="s">
        <v>57</v>
      </c>
    </row>
    <row r="1060" spans="1:9">
      <c r="A1060" s="50">
        <v>45728</v>
      </c>
      <c r="B1060" s="51">
        <v>0.3937037037037037</v>
      </c>
      <c r="C1060" t="s">
        <v>151</v>
      </c>
      <c r="D1060" t="s">
        <v>160</v>
      </c>
      <c r="E1060" t="s">
        <v>47</v>
      </c>
      <c r="F1060" t="s">
        <v>7</v>
      </c>
      <c r="G1060">
        <v>1000000</v>
      </c>
      <c r="H1060" t="s">
        <v>147</v>
      </c>
      <c r="I1060" t="s">
        <v>61</v>
      </c>
    </row>
    <row r="1061" spans="1:9">
      <c r="A1061" s="50">
        <v>45728</v>
      </c>
      <c r="B1061" s="51">
        <v>0.376400462962963</v>
      </c>
      <c r="C1061" t="s">
        <v>145</v>
      </c>
      <c r="D1061" t="s">
        <v>42</v>
      </c>
      <c r="E1061" t="s">
        <v>47</v>
      </c>
      <c r="F1061" t="s">
        <v>229</v>
      </c>
      <c r="G1061">
        <v>-400000</v>
      </c>
      <c r="H1061" t="s">
        <v>147</v>
      </c>
      <c r="I1061" t="s">
        <v>57</v>
      </c>
    </row>
    <row r="1062" spans="1:9">
      <c r="A1062" s="50">
        <v>45728</v>
      </c>
      <c r="B1062" s="51">
        <v>0.3614120370370371</v>
      </c>
      <c r="C1062" t="s">
        <v>151</v>
      </c>
      <c r="D1062" t="s">
        <v>198</v>
      </c>
      <c r="E1062" t="s">
        <v>47</v>
      </c>
      <c r="F1062" t="s">
        <v>213</v>
      </c>
      <c r="G1062">
        <v>1893930</v>
      </c>
      <c r="H1062" t="s">
        <v>147</v>
      </c>
      <c r="I1062" t="s">
        <v>57</v>
      </c>
    </row>
    <row r="1063" spans="1:9">
      <c r="A1063" s="50">
        <v>45728</v>
      </c>
      <c r="B1063" s="51">
        <v>0.3433680555555556</v>
      </c>
      <c r="C1063" t="s">
        <v>149</v>
      </c>
      <c r="D1063" t="s">
        <v>29</v>
      </c>
      <c r="E1063" t="s">
        <v>47</v>
      </c>
      <c r="F1063" t="s">
        <v>495</v>
      </c>
      <c r="G1063">
        <v>27000</v>
      </c>
      <c r="H1063" t="s">
        <v>147</v>
      </c>
      <c r="I1063" t="s">
        <v>57</v>
      </c>
    </row>
    <row r="1064" spans="1:9">
      <c r="A1064" s="50">
        <v>45728</v>
      </c>
      <c r="B1064" s="51">
        <v>0.2864467592592593</v>
      </c>
      <c r="C1064" t="s">
        <v>145</v>
      </c>
      <c r="D1064" t="s">
        <v>34</v>
      </c>
      <c r="E1064" t="s">
        <v>47</v>
      </c>
      <c r="F1064" t="s">
        <v>146</v>
      </c>
      <c r="G1064">
        <v>-1700</v>
      </c>
      <c r="H1064" t="s">
        <v>147</v>
      </c>
      <c r="I1064" t="s">
        <v>148</v>
      </c>
    </row>
    <row r="1065" spans="1:9">
      <c r="A1065" s="50">
        <v>45727</v>
      </c>
      <c r="B1065" s="51">
        <v>0.7397569444444444</v>
      </c>
      <c r="C1065" t="s">
        <v>145</v>
      </c>
      <c r="D1065" t="s">
        <v>34</v>
      </c>
      <c r="E1065" t="s">
        <v>47</v>
      </c>
      <c r="F1065" t="s">
        <v>146</v>
      </c>
      <c r="G1065">
        <v>-1700</v>
      </c>
      <c r="H1065" t="s">
        <v>147</v>
      </c>
      <c r="I1065" t="s">
        <v>148</v>
      </c>
    </row>
    <row r="1066" spans="1:9">
      <c r="A1066" s="50">
        <v>45727</v>
      </c>
      <c r="B1066" s="51">
        <v>0.4330787037037037</v>
      </c>
      <c r="C1066" t="s">
        <v>151</v>
      </c>
      <c r="D1066" t="s">
        <v>151</v>
      </c>
      <c r="E1066" t="s">
        <v>47</v>
      </c>
      <c r="F1066" t="s">
        <v>163</v>
      </c>
      <c r="G1066">
        <v>-50000</v>
      </c>
      <c r="H1066" t="s">
        <v>147</v>
      </c>
      <c r="I1066" t="s">
        <v>57</v>
      </c>
    </row>
    <row r="1067" spans="1:9">
      <c r="A1067" s="50">
        <v>45727</v>
      </c>
      <c r="B1067" s="51">
        <v>0.2867939814814815</v>
      </c>
      <c r="C1067" t="s">
        <v>145</v>
      </c>
      <c r="D1067" t="s">
        <v>34</v>
      </c>
      <c r="E1067" t="s">
        <v>47</v>
      </c>
      <c r="F1067" t="s">
        <v>146</v>
      </c>
      <c r="G1067">
        <v>-1700</v>
      </c>
      <c r="H1067" t="s">
        <v>147</v>
      </c>
      <c r="I1067" t="s">
        <v>148</v>
      </c>
    </row>
    <row r="1068" spans="1:9">
      <c r="A1068" s="50">
        <v>45726</v>
      </c>
      <c r="B1068" s="51">
        <v>0.5518402777777778</v>
      </c>
      <c r="C1068" t="s">
        <v>145</v>
      </c>
      <c r="D1068" t="s">
        <v>42</v>
      </c>
      <c r="E1068" t="s">
        <v>47</v>
      </c>
      <c r="F1068" t="s">
        <v>159</v>
      </c>
      <c r="G1068">
        <v>-7899</v>
      </c>
      <c r="H1068" t="s">
        <v>147</v>
      </c>
      <c r="I1068" t="s">
        <v>148</v>
      </c>
    </row>
    <row r="1069" spans="1:9">
      <c r="A1069" s="50">
        <v>45726</v>
      </c>
      <c r="B1069" s="51">
        <v>0.5507060185185185</v>
      </c>
      <c r="C1069" t="s">
        <v>145</v>
      </c>
      <c r="D1069" t="s">
        <v>42</v>
      </c>
      <c r="E1069" t="s">
        <v>47</v>
      </c>
      <c r="F1069" t="s">
        <v>159</v>
      </c>
      <c r="G1069">
        <v>-22830</v>
      </c>
      <c r="H1069" t="s">
        <v>147</v>
      </c>
      <c r="I1069" t="s">
        <v>148</v>
      </c>
    </row>
    <row r="1070" spans="1:9">
      <c r="A1070" s="50">
        <v>45726</v>
      </c>
      <c r="B1070" s="51">
        <v>0.4440740740740741</v>
      </c>
      <c r="C1070" t="s">
        <v>151</v>
      </c>
      <c r="D1070" t="s">
        <v>160</v>
      </c>
      <c r="E1070" t="s">
        <v>47</v>
      </c>
      <c r="F1070" t="s">
        <v>7</v>
      </c>
      <c r="G1070">
        <v>200000</v>
      </c>
      <c r="H1070" t="s">
        <v>147</v>
      </c>
      <c r="I1070" t="s">
        <v>57</v>
      </c>
    </row>
    <row r="1071" spans="1:9">
      <c r="A1071" s="50">
        <v>45726</v>
      </c>
      <c r="B1071" s="51">
        <v>0.4440740740740741</v>
      </c>
      <c r="C1071" t="s">
        <v>151</v>
      </c>
      <c r="D1071" t="s">
        <v>160</v>
      </c>
      <c r="E1071" t="s">
        <v>47</v>
      </c>
      <c r="F1071" t="s">
        <v>7</v>
      </c>
      <c r="G1071">
        <v>-200000</v>
      </c>
      <c r="H1071" t="s">
        <v>147</v>
      </c>
      <c r="I1071" t="s">
        <v>61</v>
      </c>
    </row>
    <row r="1072" spans="1:9">
      <c r="A1072" s="50">
        <v>45726</v>
      </c>
      <c r="B1072" s="51">
        <v>0.1291550925925926</v>
      </c>
      <c r="C1072" t="s">
        <v>145</v>
      </c>
      <c r="D1072" t="s">
        <v>35</v>
      </c>
      <c r="E1072" t="s">
        <v>207</v>
      </c>
      <c r="F1072" t="s">
        <v>234</v>
      </c>
      <c r="G1072">
        <v>-157469</v>
      </c>
      <c r="H1072" t="s">
        <v>147</v>
      </c>
      <c r="I1072" t="s">
        <v>57</v>
      </c>
    </row>
    <row r="1073" spans="1:9">
      <c r="A1073" s="50">
        <v>45726</v>
      </c>
      <c r="B1073" s="51">
        <v>0.1267476851851852</v>
      </c>
      <c r="C1073" t="s">
        <v>151</v>
      </c>
      <c r="D1073" t="s">
        <v>151</v>
      </c>
      <c r="E1073" t="s">
        <v>47</v>
      </c>
      <c r="F1073" t="s">
        <v>234</v>
      </c>
      <c r="G1073">
        <v>-257804</v>
      </c>
      <c r="H1073" t="s">
        <v>147</v>
      </c>
      <c r="I1073" t="s">
        <v>61</v>
      </c>
    </row>
    <row r="1074" spans="1:9">
      <c r="A1074" s="50">
        <v>45725</v>
      </c>
      <c r="B1074" s="51">
        <v>0.6666319444444444</v>
      </c>
      <c r="C1074" t="s">
        <v>145</v>
      </c>
      <c r="D1074" t="s">
        <v>34</v>
      </c>
      <c r="E1074" t="s">
        <v>47</v>
      </c>
      <c r="F1074" t="s">
        <v>244</v>
      </c>
      <c r="G1074">
        <v>-1500</v>
      </c>
      <c r="H1074" t="s">
        <v>147</v>
      </c>
      <c r="I1074" t="s">
        <v>148</v>
      </c>
    </row>
    <row r="1075" spans="1:9">
      <c r="A1075" s="50">
        <v>45725</v>
      </c>
      <c r="B1075" s="51">
        <v>0.4807291666666667</v>
      </c>
      <c r="C1075" t="s">
        <v>145</v>
      </c>
      <c r="D1075" t="s">
        <v>35</v>
      </c>
      <c r="E1075" t="s">
        <v>47</v>
      </c>
      <c r="F1075" t="s">
        <v>480</v>
      </c>
      <c r="G1075">
        <v>-50000</v>
      </c>
      <c r="H1075" t="s">
        <v>147</v>
      </c>
      <c r="I1075" t="s">
        <v>57</v>
      </c>
    </row>
    <row r="1076" spans="1:9">
      <c r="A1076" s="50">
        <v>45725</v>
      </c>
      <c r="B1076" s="51">
        <v>0.434525462962963</v>
      </c>
      <c r="C1076" t="s">
        <v>145</v>
      </c>
      <c r="D1076" t="s">
        <v>34</v>
      </c>
      <c r="E1076" t="s">
        <v>47</v>
      </c>
      <c r="F1076" t="s">
        <v>146</v>
      </c>
      <c r="G1076">
        <v>-1500</v>
      </c>
      <c r="H1076" t="s">
        <v>147</v>
      </c>
      <c r="I1076" t="s">
        <v>148</v>
      </c>
    </row>
    <row r="1077" spans="1:9">
      <c r="A1077" s="50">
        <v>45725</v>
      </c>
      <c r="B1077" s="51">
        <v>0.33375</v>
      </c>
      <c r="C1077" t="s">
        <v>145</v>
      </c>
      <c r="D1077" t="s">
        <v>34</v>
      </c>
      <c r="E1077" t="s">
        <v>47</v>
      </c>
      <c r="F1077" t="s">
        <v>146</v>
      </c>
      <c r="G1077">
        <v>-1500</v>
      </c>
      <c r="H1077" t="s">
        <v>147</v>
      </c>
      <c r="I1077" t="s">
        <v>148</v>
      </c>
    </row>
    <row r="1078" spans="1:9">
      <c r="A1078" s="50">
        <v>45724</v>
      </c>
      <c r="B1078" s="51">
        <v>0.7966898148148148</v>
      </c>
      <c r="C1078" t="s">
        <v>145</v>
      </c>
      <c r="D1078" t="s">
        <v>34</v>
      </c>
      <c r="E1078" t="s">
        <v>47</v>
      </c>
      <c r="F1078" t="s">
        <v>146</v>
      </c>
      <c r="G1078">
        <v>-200</v>
      </c>
      <c r="H1078" t="s">
        <v>147</v>
      </c>
      <c r="I1078" t="s">
        <v>148</v>
      </c>
    </row>
    <row r="1079" spans="1:9">
      <c r="A1079" s="50">
        <v>45724</v>
      </c>
      <c r="B1079" s="51">
        <v>0.7843287037037037</v>
      </c>
      <c r="C1079" t="s">
        <v>145</v>
      </c>
      <c r="D1079" t="s">
        <v>41</v>
      </c>
      <c r="E1079" t="s">
        <v>47</v>
      </c>
      <c r="F1079" t="s">
        <v>496</v>
      </c>
      <c r="G1079">
        <v>-7000</v>
      </c>
      <c r="H1079" t="s">
        <v>147</v>
      </c>
      <c r="I1079" t="s">
        <v>148</v>
      </c>
    </row>
    <row r="1080" spans="1:9">
      <c r="A1080" s="50">
        <v>45724</v>
      </c>
      <c r="B1080" s="51">
        <v>0.7843287037037037</v>
      </c>
      <c r="C1080" t="s">
        <v>145</v>
      </c>
      <c r="D1080" t="s">
        <v>41</v>
      </c>
      <c r="E1080" t="s">
        <v>47</v>
      </c>
      <c r="F1080" t="s">
        <v>496</v>
      </c>
      <c r="G1080">
        <v>-7000</v>
      </c>
      <c r="H1080" t="s">
        <v>147</v>
      </c>
      <c r="I1080" t="s">
        <v>148</v>
      </c>
    </row>
    <row r="1081" spans="1:9">
      <c r="A1081" s="50">
        <v>45724</v>
      </c>
      <c r="B1081" s="51">
        <v>0.7821643518518518</v>
      </c>
      <c r="C1081" t="s">
        <v>145</v>
      </c>
      <c r="D1081" t="s">
        <v>34</v>
      </c>
      <c r="E1081" t="s">
        <v>47</v>
      </c>
      <c r="F1081" t="s">
        <v>244</v>
      </c>
      <c r="G1081">
        <v>-1500</v>
      </c>
      <c r="H1081" t="s">
        <v>147</v>
      </c>
      <c r="I1081" t="s">
        <v>148</v>
      </c>
    </row>
    <row r="1082" spans="1:9">
      <c r="A1082" s="50">
        <v>45724</v>
      </c>
      <c r="B1082" s="51">
        <v>0.7051388888888889</v>
      </c>
      <c r="C1082" t="s">
        <v>145</v>
      </c>
      <c r="D1082" t="s">
        <v>41</v>
      </c>
      <c r="E1082" t="s">
        <v>47</v>
      </c>
      <c r="F1082" t="s">
        <v>496</v>
      </c>
      <c r="G1082">
        <v>-54000</v>
      </c>
      <c r="H1082" t="s">
        <v>147</v>
      </c>
      <c r="I1082" t="s">
        <v>148</v>
      </c>
    </row>
    <row r="1083" spans="1:9">
      <c r="A1083" s="50">
        <v>45724</v>
      </c>
      <c r="B1083" s="51">
        <v>0.7051388888888889</v>
      </c>
      <c r="C1083" t="s">
        <v>145</v>
      </c>
      <c r="D1083" t="s">
        <v>41</v>
      </c>
      <c r="E1083" t="s">
        <v>47</v>
      </c>
      <c r="F1083" t="s">
        <v>496</v>
      </c>
      <c r="G1083">
        <v>-54000</v>
      </c>
      <c r="H1083" t="s">
        <v>147</v>
      </c>
      <c r="I1083" t="s">
        <v>148</v>
      </c>
    </row>
    <row r="1084" spans="1:9">
      <c r="A1084" s="50">
        <v>45724</v>
      </c>
      <c r="B1084" s="51">
        <v>0.6995486111111111</v>
      </c>
      <c r="C1084" t="s">
        <v>145</v>
      </c>
      <c r="D1084" t="s">
        <v>34</v>
      </c>
      <c r="E1084" t="s">
        <v>47</v>
      </c>
      <c r="F1084" t="s">
        <v>244</v>
      </c>
      <c r="G1084">
        <v>-300</v>
      </c>
      <c r="H1084" t="s">
        <v>147</v>
      </c>
      <c r="I1084" t="s">
        <v>148</v>
      </c>
    </row>
    <row r="1085" spans="1:9">
      <c r="A1085" s="50">
        <v>45724</v>
      </c>
      <c r="B1085" s="51">
        <v>0.6945833333333333</v>
      </c>
      <c r="C1085" t="s">
        <v>145</v>
      </c>
      <c r="D1085" t="s">
        <v>34</v>
      </c>
      <c r="E1085" t="s">
        <v>47</v>
      </c>
      <c r="F1085" t="s">
        <v>244</v>
      </c>
      <c r="G1085">
        <v>-1200</v>
      </c>
      <c r="H1085" t="s">
        <v>147</v>
      </c>
      <c r="I1085" t="s">
        <v>148</v>
      </c>
    </row>
    <row r="1086" spans="1:9">
      <c r="A1086" s="50">
        <v>45724</v>
      </c>
      <c r="B1086" s="51">
        <v>0.4963657407407407</v>
      </c>
      <c r="C1086" t="s">
        <v>145</v>
      </c>
      <c r="D1086" t="s">
        <v>42</v>
      </c>
      <c r="E1086" t="s">
        <v>47</v>
      </c>
      <c r="F1086" t="s">
        <v>253</v>
      </c>
      <c r="G1086">
        <v>-24900</v>
      </c>
      <c r="H1086" t="s">
        <v>147</v>
      </c>
      <c r="I1086" t="s">
        <v>148</v>
      </c>
    </row>
    <row r="1087" spans="1:9">
      <c r="A1087" s="50">
        <v>45724</v>
      </c>
      <c r="B1087" s="51">
        <v>0.4297569444444445</v>
      </c>
      <c r="C1087" t="s">
        <v>145</v>
      </c>
      <c r="D1087" t="s">
        <v>43</v>
      </c>
      <c r="E1087" t="s">
        <v>47</v>
      </c>
      <c r="F1087" t="s">
        <v>431</v>
      </c>
      <c r="G1087">
        <v>-48600</v>
      </c>
      <c r="H1087" t="s">
        <v>147</v>
      </c>
      <c r="I1087" t="s">
        <v>148</v>
      </c>
    </row>
    <row r="1088" spans="1:9">
      <c r="A1088" s="50">
        <v>45724</v>
      </c>
      <c r="B1088" s="51">
        <v>0.2884953703703704</v>
      </c>
      <c r="C1088" t="s">
        <v>145</v>
      </c>
      <c r="D1088" t="s">
        <v>34</v>
      </c>
      <c r="E1088" t="s">
        <v>47</v>
      </c>
      <c r="F1088" t="s">
        <v>146</v>
      </c>
      <c r="G1088">
        <v>-1700</v>
      </c>
      <c r="H1088" t="s">
        <v>147</v>
      </c>
      <c r="I1088" t="s">
        <v>148</v>
      </c>
    </row>
    <row r="1089" spans="1:9">
      <c r="A1089" s="50">
        <v>45723</v>
      </c>
      <c r="B1089" s="51">
        <v>0.7611805555555555</v>
      </c>
      <c r="C1089" t="s">
        <v>145</v>
      </c>
      <c r="D1089" t="s">
        <v>41</v>
      </c>
      <c r="E1089" t="s">
        <v>47</v>
      </c>
      <c r="F1089" t="s">
        <v>157</v>
      </c>
      <c r="G1089">
        <v>-58100</v>
      </c>
      <c r="H1089" t="s">
        <v>147</v>
      </c>
      <c r="I1089" t="s">
        <v>57</v>
      </c>
    </row>
    <row r="1090" spans="1:9">
      <c r="A1090" s="50">
        <v>45723</v>
      </c>
      <c r="B1090" s="51">
        <v>0.7405555555555555</v>
      </c>
      <c r="C1090" t="s">
        <v>145</v>
      </c>
      <c r="D1090" t="s">
        <v>34</v>
      </c>
      <c r="E1090" t="s">
        <v>47</v>
      </c>
      <c r="F1090" t="s">
        <v>146</v>
      </c>
      <c r="G1090">
        <v>-1700</v>
      </c>
      <c r="H1090" t="s">
        <v>147</v>
      </c>
      <c r="I1090" t="s">
        <v>148</v>
      </c>
    </row>
    <row r="1091" spans="1:9">
      <c r="A1091" s="50">
        <v>45723</v>
      </c>
      <c r="B1091" s="51">
        <v>0.5288657407407408</v>
      </c>
      <c r="C1091" t="s">
        <v>145</v>
      </c>
      <c r="D1091" t="s">
        <v>38</v>
      </c>
      <c r="E1091" t="s">
        <v>47</v>
      </c>
      <c r="F1091" t="s">
        <v>489</v>
      </c>
      <c r="G1091">
        <v>-3300</v>
      </c>
      <c r="H1091" t="s">
        <v>147</v>
      </c>
      <c r="I1091" t="s">
        <v>148</v>
      </c>
    </row>
    <row r="1092" spans="1:9">
      <c r="A1092" s="50">
        <v>45723</v>
      </c>
      <c r="B1092" s="51">
        <v>0.2926967592592593</v>
      </c>
      <c r="C1092" t="s">
        <v>145</v>
      </c>
      <c r="D1092" t="s">
        <v>34</v>
      </c>
      <c r="E1092" t="s">
        <v>47</v>
      </c>
      <c r="F1092" t="s">
        <v>146</v>
      </c>
      <c r="G1092">
        <v>-1700</v>
      </c>
      <c r="H1092" t="s">
        <v>147</v>
      </c>
      <c r="I1092" t="s">
        <v>148</v>
      </c>
    </row>
    <row r="1093" spans="1:9">
      <c r="A1093" s="50">
        <v>45722</v>
      </c>
      <c r="B1093" s="51">
        <v>0.6745717592592593</v>
      </c>
      <c r="C1093" t="s">
        <v>145</v>
      </c>
      <c r="D1093" t="s">
        <v>34</v>
      </c>
      <c r="E1093" t="s">
        <v>47</v>
      </c>
      <c r="F1093" t="s">
        <v>146</v>
      </c>
      <c r="G1093">
        <v>-1700</v>
      </c>
      <c r="H1093" t="s">
        <v>147</v>
      </c>
      <c r="I1093" t="s">
        <v>148</v>
      </c>
    </row>
    <row r="1094" spans="1:9">
      <c r="A1094" s="50">
        <v>45722</v>
      </c>
      <c r="B1094" s="51">
        <v>0.2866435185185185</v>
      </c>
      <c r="C1094" t="s">
        <v>145</v>
      </c>
      <c r="D1094" t="s">
        <v>34</v>
      </c>
      <c r="E1094" t="s">
        <v>47</v>
      </c>
      <c r="F1094" t="s">
        <v>146</v>
      </c>
      <c r="G1094">
        <v>-1700</v>
      </c>
      <c r="H1094" t="s">
        <v>147</v>
      </c>
      <c r="I1094" t="s">
        <v>148</v>
      </c>
    </row>
    <row r="1095" spans="1:9">
      <c r="A1095" s="50">
        <v>45721</v>
      </c>
      <c r="B1095" s="51">
        <v>0.288275462962963</v>
      </c>
      <c r="C1095" t="s">
        <v>145</v>
      </c>
      <c r="D1095" t="s">
        <v>34</v>
      </c>
      <c r="E1095" t="s">
        <v>47</v>
      </c>
      <c r="F1095" t="s">
        <v>146</v>
      </c>
      <c r="G1095">
        <v>-1700</v>
      </c>
      <c r="H1095" t="s">
        <v>147</v>
      </c>
      <c r="I1095" t="s">
        <v>148</v>
      </c>
    </row>
    <row r="1096" spans="1:9">
      <c r="A1096" s="50">
        <v>45721</v>
      </c>
      <c r="B1096" s="51">
        <v>0.2482407407407407</v>
      </c>
      <c r="C1096" t="s">
        <v>145</v>
      </c>
      <c r="D1096" t="s">
        <v>34</v>
      </c>
      <c r="E1096" t="s">
        <v>47</v>
      </c>
      <c r="F1096" t="s">
        <v>497</v>
      </c>
      <c r="G1096">
        <v>-1700</v>
      </c>
      <c r="H1096" t="s">
        <v>147</v>
      </c>
      <c r="I1096" t="s">
        <v>165</v>
      </c>
    </row>
    <row r="1097" spans="1:9">
      <c r="A1097" s="50">
        <v>45721</v>
      </c>
      <c r="B1097" s="51">
        <v>0.2482407407407407</v>
      </c>
      <c r="C1097" t="s">
        <v>145</v>
      </c>
      <c r="D1097" t="s">
        <v>34</v>
      </c>
      <c r="E1097" t="s">
        <v>47</v>
      </c>
      <c r="F1097" t="s">
        <v>497</v>
      </c>
      <c r="G1097">
        <v>-1700</v>
      </c>
      <c r="H1097" t="s">
        <v>147</v>
      </c>
      <c r="I1097" t="s">
        <v>165</v>
      </c>
    </row>
    <row r="1098" spans="1:9">
      <c r="A1098" s="50">
        <v>45721</v>
      </c>
      <c r="B1098" s="51">
        <v>0.2482407407407407</v>
      </c>
      <c r="C1098" t="s">
        <v>145</v>
      </c>
      <c r="D1098" t="s">
        <v>47</v>
      </c>
      <c r="E1098" t="s">
        <v>47</v>
      </c>
      <c r="F1098" t="s">
        <v>498</v>
      </c>
      <c r="G1098">
        <v>-6200</v>
      </c>
      <c r="H1098" t="s">
        <v>147</v>
      </c>
      <c r="I1098" t="s">
        <v>165</v>
      </c>
    </row>
    <row r="1099" spans="1:9">
      <c r="A1099" s="50">
        <v>45720</v>
      </c>
      <c r="B1099" s="51">
        <v>0.8939236111111111</v>
      </c>
      <c r="C1099" t="s">
        <v>145</v>
      </c>
      <c r="D1099" t="s">
        <v>42</v>
      </c>
      <c r="E1099" t="s">
        <v>47</v>
      </c>
      <c r="F1099" t="s">
        <v>153</v>
      </c>
      <c r="G1099">
        <v>-55800</v>
      </c>
      <c r="H1099" t="s">
        <v>147</v>
      </c>
      <c r="I1099" t="s">
        <v>154</v>
      </c>
    </row>
    <row r="1100" spans="1:9">
      <c r="A1100" s="50">
        <v>45720</v>
      </c>
      <c r="B1100" s="51">
        <v>0.6908796296296297</v>
      </c>
      <c r="C1100" t="s">
        <v>145</v>
      </c>
      <c r="D1100" t="s">
        <v>43</v>
      </c>
      <c r="E1100" t="s">
        <v>47</v>
      </c>
      <c r="F1100" t="s">
        <v>499</v>
      </c>
      <c r="G1100">
        <v>-15000</v>
      </c>
      <c r="H1100" t="s">
        <v>147</v>
      </c>
      <c r="I1100" t="s">
        <v>148</v>
      </c>
    </row>
    <row r="1101" spans="1:9">
      <c r="A1101" s="50">
        <v>45718</v>
      </c>
      <c r="B1101" s="51">
        <v>0.4396412037037037</v>
      </c>
      <c r="C1101" t="s">
        <v>145</v>
      </c>
      <c r="D1101" t="s">
        <v>42</v>
      </c>
      <c r="E1101" t="s">
        <v>47</v>
      </c>
      <c r="F1101" t="s">
        <v>159</v>
      </c>
      <c r="G1101">
        <v>-148210</v>
      </c>
      <c r="H1101" t="s">
        <v>147</v>
      </c>
      <c r="I1101" t="s">
        <v>148</v>
      </c>
    </row>
    <row r="1102" spans="1:9">
      <c r="A1102" s="50">
        <v>45717</v>
      </c>
      <c r="B1102" s="51">
        <v>0.7884953703703703</v>
      </c>
      <c r="C1102" t="s">
        <v>145</v>
      </c>
      <c r="D1102" t="s">
        <v>42</v>
      </c>
      <c r="E1102" t="s">
        <v>47</v>
      </c>
      <c r="F1102" t="s">
        <v>219</v>
      </c>
      <c r="G1102">
        <v>-71840</v>
      </c>
      <c r="H1102" t="s">
        <v>147</v>
      </c>
      <c r="I1102" t="s">
        <v>148</v>
      </c>
    </row>
    <row r="1103" spans="1:9">
      <c r="A1103" s="50">
        <v>45717</v>
      </c>
      <c r="B1103" s="51">
        <v>0.7865740740740741</v>
      </c>
      <c r="C1103" t="s">
        <v>145</v>
      </c>
      <c r="D1103" t="s">
        <v>42</v>
      </c>
      <c r="E1103" t="s">
        <v>47</v>
      </c>
      <c r="F1103" t="s">
        <v>158</v>
      </c>
      <c r="G1103">
        <v>-110000</v>
      </c>
      <c r="H1103" t="s">
        <v>147</v>
      </c>
      <c r="I1103" t="s">
        <v>57</v>
      </c>
    </row>
    <row r="1104" spans="1:9">
      <c r="A1104" s="50">
        <v>45717</v>
      </c>
      <c r="B1104" s="51">
        <v>0.2825578703703704</v>
      </c>
      <c r="C1104" t="s">
        <v>145</v>
      </c>
      <c r="D1104" t="s">
        <v>42</v>
      </c>
      <c r="E1104" t="s">
        <v>47</v>
      </c>
      <c r="F1104" t="s">
        <v>408</v>
      </c>
      <c r="G1104">
        <v>-38800</v>
      </c>
      <c r="H1104" t="s">
        <v>147</v>
      </c>
      <c r="I1104" t="s">
        <v>154</v>
      </c>
    </row>
    <row r="1105" spans="1:9">
      <c r="A1105" s="50">
        <v>45717</v>
      </c>
      <c r="B1105" s="51">
        <v>0.2825578703703704</v>
      </c>
      <c r="C1105" t="s">
        <v>151</v>
      </c>
      <c r="D1105" t="s">
        <v>160</v>
      </c>
      <c r="E1105" t="s">
        <v>47</v>
      </c>
      <c r="F1105" t="s">
        <v>163</v>
      </c>
      <c r="G1105">
        <v>-37799</v>
      </c>
      <c r="H1105" t="s">
        <v>147</v>
      </c>
      <c r="I1105" t="s">
        <v>57</v>
      </c>
    </row>
    <row r="1106" spans="1:9">
      <c r="A1106" s="50">
        <v>45717</v>
      </c>
      <c r="B1106" s="51">
        <v>0.2825578703703704</v>
      </c>
      <c r="C1106" t="s">
        <v>151</v>
      </c>
      <c r="D1106" t="s">
        <v>160</v>
      </c>
      <c r="E1106" t="s">
        <v>47</v>
      </c>
      <c r="F1106" t="s">
        <v>161</v>
      </c>
      <c r="G1106">
        <v>37799</v>
      </c>
      <c r="H1106" t="s">
        <v>147</v>
      </c>
      <c r="I1106" t="s">
        <v>162</v>
      </c>
    </row>
    <row r="1107" spans="1:9">
      <c r="A1107" s="50">
        <v>45716</v>
      </c>
      <c r="B1107" s="51">
        <v>0.8469675925925926</v>
      </c>
      <c r="C1107" t="s">
        <v>145</v>
      </c>
      <c r="D1107" t="s">
        <v>34</v>
      </c>
      <c r="E1107" t="s">
        <v>47</v>
      </c>
      <c r="F1107" t="s">
        <v>146</v>
      </c>
      <c r="G1107">
        <v>-200</v>
      </c>
      <c r="H1107" t="s">
        <v>147</v>
      </c>
      <c r="I1107" t="s">
        <v>148</v>
      </c>
    </row>
    <row r="1108" spans="1:9">
      <c r="A1108" s="50">
        <v>45716</v>
      </c>
      <c r="B1108" s="51">
        <v>0.8339351851851852</v>
      </c>
      <c r="C1108" t="s">
        <v>145</v>
      </c>
      <c r="D1108" t="s">
        <v>34</v>
      </c>
      <c r="E1108" t="s">
        <v>47</v>
      </c>
      <c r="F1108" t="s">
        <v>244</v>
      </c>
      <c r="G1108">
        <v>-1500</v>
      </c>
      <c r="H1108" t="s">
        <v>147</v>
      </c>
      <c r="I1108" t="s">
        <v>148</v>
      </c>
    </row>
    <row r="1109" spans="1:9">
      <c r="A1109" s="50">
        <v>45716</v>
      </c>
      <c r="B1109" s="51">
        <v>0.7435185185185185</v>
      </c>
      <c r="C1109" t="s">
        <v>145</v>
      </c>
      <c r="D1109" t="s">
        <v>34</v>
      </c>
      <c r="E1109" t="s">
        <v>47</v>
      </c>
      <c r="F1109" t="s">
        <v>244</v>
      </c>
      <c r="G1109">
        <v>-3000</v>
      </c>
      <c r="H1109" t="s">
        <v>147</v>
      </c>
      <c r="I1109" t="s">
        <v>148</v>
      </c>
    </row>
    <row r="1110" spans="1:9">
      <c r="A1110" s="50">
        <v>45716</v>
      </c>
      <c r="B1110" s="51">
        <v>0.4212384259259259</v>
      </c>
      <c r="C1110" t="s">
        <v>151</v>
      </c>
      <c r="D1110" t="s">
        <v>151</v>
      </c>
      <c r="E1110" t="s">
        <v>47</v>
      </c>
      <c r="F1110" t="s">
        <v>500</v>
      </c>
      <c r="G1110">
        <v>-1590000</v>
      </c>
      <c r="H1110" t="s">
        <v>147</v>
      </c>
      <c r="I1110" t="s">
        <v>57</v>
      </c>
    </row>
    <row r="1111" spans="1:9">
      <c r="A1111" s="50">
        <v>45716</v>
      </c>
      <c r="B1111" s="51">
        <v>0.4102314814814815</v>
      </c>
      <c r="C1111" t="s">
        <v>151</v>
      </c>
      <c r="D1111" t="s">
        <v>47</v>
      </c>
      <c r="E1111" t="s">
        <v>47</v>
      </c>
      <c r="F1111" t="s">
        <v>501</v>
      </c>
      <c r="G1111">
        <v>1</v>
      </c>
      <c r="H1111" t="s">
        <v>147</v>
      </c>
      <c r="I1111" t="s">
        <v>57</v>
      </c>
    </row>
    <row r="1112" spans="1:9">
      <c r="A1112" s="50">
        <v>45716</v>
      </c>
      <c r="B1112" s="51">
        <v>0.3316782407407408</v>
      </c>
      <c r="C1112" t="s">
        <v>151</v>
      </c>
      <c r="D1112" t="s">
        <v>160</v>
      </c>
      <c r="E1112" t="s">
        <v>47</v>
      </c>
      <c r="F1112" t="s">
        <v>7</v>
      </c>
      <c r="G1112">
        <v>2000000</v>
      </c>
      <c r="H1112" t="s">
        <v>147</v>
      </c>
      <c r="I1112" t="s">
        <v>57</v>
      </c>
    </row>
    <row r="1113" spans="1:9">
      <c r="A1113" s="50">
        <v>45716</v>
      </c>
      <c r="B1113" s="51">
        <v>0.3316782407407408</v>
      </c>
      <c r="C1113" t="s">
        <v>151</v>
      </c>
      <c r="D1113" t="s">
        <v>160</v>
      </c>
      <c r="E1113" t="s">
        <v>47</v>
      </c>
      <c r="F1113" t="s">
        <v>7</v>
      </c>
      <c r="G1113">
        <v>-2000000</v>
      </c>
      <c r="H1113" t="s">
        <v>147</v>
      </c>
      <c r="I1113" t="s">
        <v>61</v>
      </c>
    </row>
    <row r="1114" spans="1:9">
      <c r="A1114" s="50">
        <v>45716</v>
      </c>
      <c r="B1114" s="51">
        <v>0.2889814814814815</v>
      </c>
      <c r="C1114" t="s">
        <v>145</v>
      </c>
      <c r="D1114" t="s">
        <v>34</v>
      </c>
      <c r="E1114" t="s">
        <v>47</v>
      </c>
      <c r="F1114" t="s">
        <v>146</v>
      </c>
      <c r="G1114">
        <v>-1700</v>
      </c>
      <c r="H1114" t="s">
        <v>147</v>
      </c>
      <c r="I1114" t="s">
        <v>148</v>
      </c>
    </row>
    <row r="1115" spans="1:9">
      <c r="A1115" s="50">
        <v>45715</v>
      </c>
      <c r="B1115" s="51">
        <v>0.8282407407407407</v>
      </c>
      <c r="C1115" t="s">
        <v>145</v>
      </c>
      <c r="D1115" t="s">
        <v>35</v>
      </c>
      <c r="E1115" t="s">
        <v>47</v>
      </c>
      <c r="F1115" t="s">
        <v>502</v>
      </c>
      <c r="G1115">
        <v>-1300000</v>
      </c>
      <c r="H1115" t="s">
        <v>147</v>
      </c>
      <c r="I1115" t="s">
        <v>61</v>
      </c>
    </row>
    <row r="1116" spans="1:9">
      <c r="A1116" s="50">
        <v>45715</v>
      </c>
      <c r="B1116" s="51">
        <v>0.6791550925925925</v>
      </c>
      <c r="C1116" t="s">
        <v>145</v>
      </c>
      <c r="D1116" t="s">
        <v>34</v>
      </c>
      <c r="E1116" t="s">
        <v>47</v>
      </c>
      <c r="F1116" t="s">
        <v>146</v>
      </c>
      <c r="G1116">
        <v>-1700</v>
      </c>
      <c r="H1116" t="s">
        <v>147</v>
      </c>
      <c r="I1116" t="s">
        <v>148</v>
      </c>
    </row>
    <row r="1117" spans="1:9">
      <c r="A1117" s="50">
        <v>45715</v>
      </c>
      <c r="B1117" s="51">
        <v>0.285625</v>
      </c>
      <c r="C1117" t="s">
        <v>145</v>
      </c>
      <c r="D1117" t="s">
        <v>34</v>
      </c>
      <c r="E1117" t="s">
        <v>47</v>
      </c>
      <c r="F1117" t="s">
        <v>146</v>
      </c>
      <c r="G1117">
        <v>-1700</v>
      </c>
      <c r="H1117" t="s">
        <v>147</v>
      </c>
      <c r="I1117" t="s">
        <v>148</v>
      </c>
    </row>
    <row r="1118" spans="1:9">
      <c r="A1118" s="50">
        <v>45714</v>
      </c>
      <c r="B1118" s="51">
        <v>0.7655439814814815</v>
      </c>
      <c r="C1118" t="s">
        <v>145</v>
      </c>
      <c r="D1118" t="s">
        <v>35</v>
      </c>
      <c r="E1118" t="s">
        <v>47</v>
      </c>
      <c r="F1118" t="s">
        <v>202</v>
      </c>
      <c r="G1118">
        <v>-10000</v>
      </c>
      <c r="H1118" t="s">
        <v>147</v>
      </c>
      <c r="I1118" t="s">
        <v>57</v>
      </c>
    </row>
    <row r="1119" spans="1:9">
      <c r="A1119" s="50">
        <v>45714</v>
      </c>
      <c r="B1119" s="51">
        <v>0.7378587962962962</v>
      </c>
      <c r="C1119" t="s">
        <v>145</v>
      </c>
      <c r="D1119" t="s">
        <v>34</v>
      </c>
      <c r="E1119" t="s">
        <v>47</v>
      </c>
      <c r="F1119" t="s">
        <v>146</v>
      </c>
      <c r="G1119">
        <v>-1700</v>
      </c>
      <c r="H1119" t="s">
        <v>147</v>
      </c>
      <c r="I1119" t="s">
        <v>148</v>
      </c>
    </row>
    <row r="1120" spans="1:9">
      <c r="A1120" s="50">
        <v>45714</v>
      </c>
      <c r="B1120" s="51">
        <v>0.4470486111111111</v>
      </c>
      <c r="C1120" t="s">
        <v>145</v>
      </c>
      <c r="D1120" t="s">
        <v>42</v>
      </c>
      <c r="E1120" t="s">
        <v>47</v>
      </c>
      <c r="F1120" t="s">
        <v>158</v>
      </c>
      <c r="G1120">
        <v>-40000</v>
      </c>
      <c r="H1120" t="s">
        <v>147</v>
      </c>
      <c r="I1120" t="s">
        <v>57</v>
      </c>
    </row>
    <row r="1121" spans="1:9">
      <c r="A1121" s="50">
        <v>45714</v>
      </c>
      <c r="B1121" s="51">
        <v>0.2884259259259259</v>
      </c>
      <c r="C1121" t="s">
        <v>145</v>
      </c>
      <c r="D1121" t="s">
        <v>34</v>
      </c>
      <c r="E1121" t="s">
        <v>47</v>
      </c>
      <c r="F1121" t="s">
        <v>146</v>
      </c>
      <c r="G1121">
        <v>-1700</v>
      </c>
      <c r="H1121" t="s">
        <v>147</v>
      </c>
      <c r="I1121" t="s">
        <v>148</v>
      </c>
    </row>
    <row r="1122" spans="1:9">
      <c r="A1122" s="50">
        <v>45713</v>
      </c>
      <c r="B1122" s="51">
        <v>0.8090162037037038</v>
      </c>
      <c r="C1122" t="s">
        <v>145</v>
      </c>
      <c r="D1122" t="s">
        <v>35</v>
      </c>
      <c r="E1122" t="s">
        <v>207</v>
      </c>
      <c r="F1122" t="s">
        <v>208</v>
      </c>
      <c r="G1122">
        <v>-1980</v>
      </c>
      <c r="H1122" t="s">
        <v>147</v>
      </c>
      <c r="I1122" t="s">
        <v>57</v>
      </c>
    </row>
    <row r="1123" spans="1:9">
      <c r="A1123" s="50">
        <v>45713</v>
      </c>
      <c r="B1123" s="51">
        <v>0.8090162037037038</v>
      </c>
      <c r="C1123" t="s">
        <v>145</v>
      </c>
      <c r="D1123" t="s">
        <v>35</v>
      </c>
      <c r="E1123" t="s">
        <v>204</v>
      </c>
      <c r="F1123" t="s">
        <v>503</v>
      </c>
      <c r="G1123">
        <v>-32200</v>
      </c>
      <c r="H1123" t="s">
        <v>147</v>
      </c>
      <c r="I1123" t="s">
        <v>57</v>
      </c>
    </row>
    <row r="1124" spans="1:9">
      <c r="A1124" s="50">
        <v>45713</v>
      </c>
      <c r="B1124" s="51">
        <v>0.7773726851851852</v>
      </c>
      <c r="C1124" t="s">
        <v>151</v>
      </c>
      <c r="D1124" t="s">
        <v>198</v>
      </c>
      <c r="E1124" t="s">
        <v>47</v>
      </c>
      <c r="F1124" t="s">
        <v>211</v>
      </c>
      <c r="G1124">
        <v>-50000</v>
      </c>
      <c r="H1124" t="s">
        <v>147</v>
      </c>
      <c r="I1124" t="s">
        <v>57</v>
      </c>
    </row>
    <row r="1125" spans="1:9">
      <c r="A1125" s="50">
        <v>45713</v>
      </c>
      <c r="B1125" s="51">
        <v>0.7740277777777778</v>
      </c>
      <c r="C1125" t="s">
        <v>145</v>
      </c>
      <c r="D1125" t="s">
        <v>42</v>
      </c>
      <c r="E1125" t="s">
        <v>47</v>
      </c>
      <c r="F1125" t="s">
        <v>504</v>
      </c>
      <c r="G1125">
        <v>-45000</v>
      </c>
      <c r="H1125" t="s">
        <v>147</v>
      </c>
      <c r="I1125" t="s">
        <v>57</v>
      </c>
    </row>
    <row r="1126" spans="1:9">
      <c r="A1126" s="50">
        <v>45713</v>
      </c>
      <c r="B1126" s="51">
        <v>0.6378472222222222</v>
      </c>
      <c r="C1126" t="s">
        <v>151</v>
      </c>
      <c r="D1126" t="s">
        <v>151</v>
      </c>
      <c r="E1126" t="s">
        <v>47</v>
      </c>
      <c r="F1126" t="s">
        <v>505</v>
      </c>
      <c r="G1126">
        <v>-728000</v>
      </c>
      <c r="H1126" t="s">
        <v>147</v>
      </c>
      <c r="I1126" t="s">
        <v>61</v>
      </c>
    </row>
    <row r="1127" spans="1:9">
      <c r="A1127" s="50">
        <v>45713</v>
      </c>
      <c r="B1127" s="51">
        <v>0.4067129629629629</v>
      </c>
      <c r="C1127" t="s">
        <v>151</v>
      </c>
      <c r="D1127" t="s">
        <v>160</v>
      </c>
      <c r="E1127" t="s">
        <v>47</v>
      </c>
      <c r="F1127" t="s">
        <v>7</v>
      </c>
      <c r="G1127">
        <v>-2500000</v>
      </c>
      <c r="H1127" t="s">
        <v>147</v>
      </c>
      <c r="I1127" t="s">
        <v>57</v>
      </c>
    </row>
    <row r="1128" spans="1:9">
      <c r="A1128" s="50">
        <v>45713</v>
      </c>
      <c r="B1128" s="51">
        <v>0.4067129629629629</v>
      </c>
      <c r="C1128" t="s">
        <v>151</v>
      </c>
      <c r="D1128" t="s">
        <v>160</v>
      </c>
      <c r="E1128" t="s">
        <v>47</v>
      </c>
      <c r="F1128" t="s">
        <v>7</v>
      </c>
      <c r="G1128">
        <v>2500000</v>
      </c>
      <c r="H1128" t="s">
        <v>147</v>
      </c>
      <c r="I1128" t="s">
        <v>61</v>
      </c>
    </row>
    <row r="1129" spans="1:9">
      <c r="A1129" s="50">
        <v>45713</v>
      </c>
      <c r="B1129" s="51">
        <v>0.3906365740740741</v>
      </c>
      <c r="C1129" t="s">
        <v>151</v>
      </c>
      <c r="D1129" t="s">
        <v>198</v>
      </c>
      <c r="E1129" t="s">
        <v>47</v>
      </c>
      <c r="F1129" t="s">
        <v>214</v>
      </c>
      <c r="G1129">
        <v>-100000</v>
      </c>
      <c r="H1129" t="s">
        <v>147</v>
      </c>
      <c r="I1129" t="s">
        <v>57</v>
      </c>
    </row>
    <row r="1130" spans="1:9">
      <c r="A1130" s="50">
        <v>45713</v>
      </c>
      <c r="B1130" s="51">
        <v>0.3641203703703704</v>
      </c>
      <c r="C1130" t="s">
        <v>151</v>
      </c>
      <c r="D1130" t="s">
        <v>198</v>
      </c>
      <c r="E1130" t="s">
        <v>47</v>
      </c>
      <c r="F1130" t="s">
        <v>213</v>
      </c>
      <c r="G1130">
        <v>3190690</v>
      </c>
      <c r="H1130" t="s">
        <v>147</v>
      </c>
      <c r="I1130" t="s">
        <v>57</v>
      </c>
    </row>
    <row r="1131" spans="1:9">
      <c r="A1131" s="50">
        <v>45712</v>
      </c>
      <c r="B1131" s="51">
        <v>0.7023842592592593</v>
      </c>
      <c r="C1131" t="s">
        <v>151</v>
      </c>
      <c r="D1131" t="s">
        <v>151</v>
      </c>
      <c r="E1131" t="s">
        <v>47</v>
      </c>
      <c r="F1131" t="s">
        <v>506</v>
      </c>
      <c r="G1131">
        <v>-3000</v>
      </c>
      <c r="H1131" t="s">
        <v>147</v>
      </c>
      <c r="I1131" t="s">
        <v>61</v>
      </c>
    </row>
    <row r="1132" spans="1:9">
      <c r="A1132" s="50">
        <v>45712</v>
      </c>
      <c r="B1132" s="51">
        <v>0.4308564814814815</v>
      </c>
      <c r="C1132" t="s">
        <v>145</v>
      </c>
      <c r="D1132" t="s">
        <v>42</v>
      </c>
      <c r="E1132" t="s">
        <v>47</v>
      </c>
      <c r="F1132" t="s">
        <v>158</v>
      </c>
      <c r="G1132">
        <v>-50000</v>
      </c>
      <c r="H1132" t="s">
        <v>147</v>
      </c>
      <c r="I1132" t="s">
        <v>57</v>
      </c>
    </row>
    <row r="1133" spans="1:9">
      <c r="A1133" s="50">
        <v>45712</v>
      </c>
      <c r="B1133" s="51">
        <v>0.4057291666666666</v>
      </c>
      <c r="C1133" t="s">
        <v>151</v>
      </c>
      <c r="D1133" t="s">
        <v>151</v>
      </c>
      <c r="E1133" t="s">
        <v>47</v>
      </c>
      <c r="F1133" t="s">
        <v>506</v>
      </c>
      <c r="G1133">
        <v>-112000</v>
      </c>
      <c r="H1133" t="s">
        <v>147</v>
      </c>
      <c r="I1133" t="s">
        <v>61</v>
      </c>
    </row>
    <row r="1134" spans="1:9">
      <c r="A1134" s="50">
        <v>45712</v>
      </c>
      <c r="B1134" s="51">
        <v>0.3761574074074074</v>
      </c>
      <c r="C1134" t="s">
        <v>145</v>
      </c>
      <c r="D1134" t="s">
        <v>42</v>
      </c>
      <c r="E1134" t="s">
        <v>47</v>
      </c>
      <c r="F1134" t="s">
        <v>153</v>
      </c>
      <c r="G1134">
        <v>-3900</v>
      </c>
      <c r="H1134" t="s">
        <v>147</v>
      </c>
      <c r="I1134" t="s">
        <v>154</v>
      </c>
    </row>
    <row r="1135" spans="1:9">
      <c r="A1135" s="50">
        <v>45711</v>
      </c>
      <c r="B1135" s="51">
        <v>0.8663657407407407</v>
      </c>
      <c r="C1135" t="s">
        <v>145</v>
      </c>
      <c r="D1135" t="s">
        <v>42</v>
      </c>
      <c r="E1135" t="s">
        <v>47</v>
      </c>
      <c r="F1135" t="s">
        <v>158</v>
      </c>
      <c r="G1135">
        <v>-60000</v>
      </c>
      <c r="H1135" t="s">
        <v>147</v>
      </c>
      <c r="I1135" t="s">
        <v>57</v>
      </c>
    </row>
    <row r="1136" spans="1:9">
      <c r="A1136" s="50">
        <v>45711</v>
      </c>
      <c r="B1136" s="51">
        <v>0.7468402777777777</v>
      </c>
      <c r="C1136" t="s">
        <v>145</v>
      </c>
      <c r="D1136" t="s">
        <v>46</v>
      </c>
      <c r="E1136" t="s">
        <v>47</v>
      </c>
      <c r="F1136" t="s">
        <v>507</v>
      </c>
      <c r="G1136">
        <v>-226660</v>
      </c>
      <c r="H1136" t="s">
        <v>147</v>
      </c>
      <c r="I1136" t="s">
        <v>148</v>
      </c>
    </row>
    <row r="1137" spans="1:9">
      <c r="A1137" s="50">
        <v>45711</v>
      </c>
      <c r="B1137" s="51">
        <v>0.7466550925925926</v>
      </c>
      <c r="C1137" t="s">
        <v>151</v>
      </c>
      <c r="D1137" t="s">
        <v>160</v>
      </c>
      <c r="E1137" t="s">
        <v>47</v>
      </c>
      <c r="F1137" t="s">
        <v>7</v>
      </c>
      <c r="G1137">
        <v>-200000</v>
      </c>
      <c r="H1137" t="s">
        <v>147</v>
      </c>
      <c r="I1137" t="s">
        <v>61</v>
      </c>
    </row>
    <row r="1138" spans="1:9">
      <c r="A1138" s="50">
        <v>45711</v>
      </c>
      <c r="B1138" s="51">
        <v>0.7466550925925926</v>
      </c>
      <c r="C1138" t="s">
        <v>151</v>
      </c>
      <c r="D1138" t="s">
        <v>160</v>
      </c>
      <c r="E1138" t="s">
        <v>47</v>
      </c>
      <c r="F1138" t="s">
        <v>7</v>
      </c>
      <c r="G1138">
        <v>200000</v>
      </c>
      <c r="H1138" t="s">
        <v>147</v>
      </c>
      <c r="I1138" t="s">
        <v>57</v>
      </c>
    </row>
    <row r="1139" spans="1:9">
      <c r="A1139" s="50">
        <v>45711</v>
      </c>
      <c r="B1139" s="51">
        <v>0.7253819444444445</v>
      </c>
      <c r="C1139" t="s">
        <v>145</v>
      </c>
      <c r="D1139" t="s">
        <v>42</v>
      </c>
      <c r="E1139" t="s">
        <v>47</v>
      </c>
      <c r="F1139" t="s">
        <v>170</v>
      </c>
      <c r="G1139">
        <v>-29190</v>
      </c>
      <c r="H1139" t="s">
        <v>147</v>
      </c>
      <c r="I1139" t="s">
        <v>148</v>
      </c>
    </row>
    <row r="1140" spans="1:9">
      <c r="A1140" s="50">
        <v>45711</v>
      </c>
      <c r="B1140" s="51">
        <v>0.7107638888888889</v>
      </c>
      <c r="C1140" t="s">
        <v>145</v>
      </c>
      <c r="D1140" t="s">
        <v>43</v>
      </c>
      <c r="E1140" t="s">
        <v>47</v>
      </c>
      <c r="F1140" t="s">
        <v>499</v>
      </c>
      <c r="G1140">
        <v>-26000</v>
      </c>
      <c r="H1140" t="s">
        <v>147</v>
      </c>
      <c r="I1140" t="s">
        <v>148</v>
      </c>
    </row>
    <row r="1141" spans="1:9">
      <c r="A1141" s="50">
        <v>45710</v>
      </c>
      <c r="B1141" s="51">
        <v>0.7848726851851852</v>
      </c>
      <c r="C1141" t="s">
        <v>145</v>
      </c>
      <c r="D1141" t="s">
        <v>46</v>
      </c>
      <c r="E1141" t="s">
        <v>47</v>
      </c>
      <c r="F1141" t="s">
        <v>260</v>
      </c>
      <c r="G1141">
        <v>-168000</v>
      </c>
      <c r="H1141" t="s">
        <v>147</v>
      </c>
      <c r="I1141" t="s">
        <v>148</v>
      </c>
    </row>
    <row r="1142" spans="1:9">
      <c r="A1142" s="50">
        <v>45710</v>
      </c>
      <c r="B1142" s="51">
        <v>0.5727662037037037</v>
      </c>
      <c r="C1142" t="s">
        <v>151</v>
      </c>
      <c r="D1142" t="s">
        <v>160</v>
      </c>
      <c r="E1142" t="s">
        <v>47</v>
      </c>
      <c r="F1142" t="s">
        <v>508</v>
      </c>
      <c r="G1142">
        <v>-99360</v>
      </c>
      <c r="H1142" t="s">
        <v>147</v>
      </c>
      <c r="I1142" t="s">
        <v>57</v>
      </c>
    </row>
    <row r="1143" spans="1:9">
      <c r="A1143" s="50">
        <v>45710</v>
      </c>
      <c r="B1143" s="51">
        <v>0.4037384259259259</v>
      </c>
      <c r="C1143" t="s">
        <v>151</v>
      </c>
      <c r="D1143" t="s">
        <v>160</v>
      </c>
      <c r="E1143" t="s">
        <v>47</v>
      </c>
      <c r="F1143" t="s">
        <v>7</v>
      </c>
      <c r="G1143">
        <v>300000</v>
      </c>
      <c r="H1143" t="s">
        <v>147</v>
      </c>
      <c r="I1143" t="s">
        <v>57</v>
      </c>
    </row>
    <row r="1144" spans="1:9">
      <c r="A1144" s="50">
        <v>45710</v>
      </c>
      <c r="B1144" s="51">
        <v>0.4037384259259259</v>
      </c>
      <c r="C1144" t="s">
        <v>151</v>
      </c>
      <c r="D1144" t="s">
        <v>160</v>
      </c>
      <c r="E1144" t="s">
        <v>47</v>
      </c>
      <c r="F1144" t="s">
        <v>7</v>
      </c>
      <c r="G1144">
        <v>-300000</v>
      </c>
      <c r="H1144" t="s">
        <v>147</v>
      </c>
      <c r="I1144" t="s">
        <v>61</v>
      </c>
    </row>
    <row r="1145" spans="1:9">
      <c r="A1145" s="50">
        <v>45710</v>
      </c>
      <c r="B1145" s="51">
        <v>0.2855439814814815</v>
      </c>
      <c r="C1145" t="s">
        <v>145</v>
      </c>
      <c r="D1145" t="s">
        <v>34</v>
      </c>
      <c r="E1145" t="s">
        <v>47</v>
      </c>
      <c r="F1145" t="s">
        <v>146</v>
      </c>
      <c r="G1145">
        <v>-1700</v>
      </c>
      <c r="H1145" t="s">
        <v>147</v>
      </c>
      <c r="I1145" t="s">
        <v>148</v>
      </c>
    </row>
    <row r="1146" spans="1:9">
      <c r="A1146" s="50">
        <v>45709</v>
      </c>
      <c r="B1146" s="51">
        <v>0.9141898148148148</v>
      </c>
      <c r="C1146" t="s">
        <v>145</v>
      </c>
      <c r="D1146" t="s">
        <v>42</v>
      </c>
      <c r="E1146" t="s">
        <v>47</v>
      </c>
      <c r="F1146" t="s">
        <v>170</v>
      </c>
      <c r="G1146">
        <v>-210710</v>
      </c>
      <c r="H1146" t="s">
        <v>147</v>
      </c>
      <c r="I1146" t="s">
        <v>148</v>
      </c>
    </row>
    <row r="1147" spans="1:9">
      <c r="A1147" s="50">
        <v>45709</v>
      </c>
      <c r="B1147" s="51">
        <v>0.9138078703703704</v>
      </c>
      <c r="C1147" t="s">
        <v>151</v>
      </c>
      <c r="D1147" t="s">
        <v>160</v>
      </c>
      <c r="E1147" t="s">
        <v>47</v>
      </c>
      <c r="F1147" t="s">
        <v>7</v>
      </c>
      <c r="G1147">
        <v>-200000</v>
      </c>
      <c r="H1147" t="s">
        <v>147</v>
      </c>
      <c r="I1147" t="s">
        <v>61</v>
      </c>
    </row>
    <row r="1148" spans="1:9">
      <c r="A1148" s="50">
        <v>45709</v>
      </c>
      <c r="B1148" s="51">
        <v>0.9138078703703704</v>
      </c>
      <c r="C1148" t="s">
        <v>151</v>
      </c>
      <c r="D1148" t="s">
        <v>160</v>
      </c>
      <c r="E1148" t="s">
        <v>47</v>
      </c>
      <c r="F1148" t="s">
        <v>7</v>
      </c>
      <c r="G1148">
        <v>200000</v>
      </c>
      <c r="H1148" t="s">
        <v>147</v>
      </c>
      <c r="I1148" t="s">
        <v>57</v>
      </c>
    </row>
    <row r="1149" spans="1:9">
      <c r="A1149" s="50">
        <v>45709</v>
      </c>
      <c r="B1149" s="51">
        <v>0.8684953703703704</v>
      </c>
      <c r="C1149" t="s">
        <v>145</v>
      </c>
      <c r="D1149" t="s">
        <v>42</v>
      </c>
      <c r="E1149" t="s">
        <v>47</v>
      </c>
      <c r="F1149" t="s">
        <v>158</v>
      </c>
      <c r="G1149">
        <v>-80000</v>
      </c>
      <c r="H1149" t="s">
        <v>147</v>
      </c>
      <c r="I1149" t="s">
        <v>57</v>
      </c>
    </row>
    <row r="1150" spans="1:9">
      <c r="A1150" s="50">
        <v>45709</v>
      </c>
      <c r="B1150" s="51">
        <v>0.8529166666666667</v>
      </c>
      <c r="C1150" t="s">
        <v>145</v>
      </c>
      <c r="D1150" t="s">
        <v>34</v>
      </c>
      <c r="E1150" t="s">
        <v>47</v>
      </c>
      <c r="F1150" t="s">
        <v>244</v>
      </c>
      <c r="G1150">
        <v>-100</v>
      </c>
      <c r="H1150" t="s">
        <v>147</v>
      </c>
      <c r="I1150" t="s">
        <v>148</v>
      </c>
    </row>
    <row r="1151" spans="1:9">
      <c r="A1151" s="50">
        <v>45709</v>
      </c>
      <c r="B1151" s="51">
        <v>0.8362384259259259</v>
      </c>
      <c r="C1151" t="s">
        <v>145</v>
      </c>
      <c r="D1151" t="s">
        <v>44</v>
      </c>
      <c r="E1151" t="s">
        <v>220</v>
      </c>
      <c r="F1151" t="s">
        <v>221</v>
      </c>
      <c r="G1151">
        <v>-21259</v>
      </c>
      <c r="H1151" t="s">
        <v>147</v>
      </c>
      <c r="I1151" t="s">
        <v>57</v>
      </c>
    </row>
    <row r="1152" spans="1:9">
      <c r="A1152" s="50">
        <v>45709</v>
      </c>
      <c r="B1152" s="51">
        <v>0.8240625</v>
      </c>
      <c r="C1152" t="s">
        <v>145</v>
      </c>
      <c r="D1152" t="s">
        <v>34</v>
      </c>
      <c r="E1152" t="s">
        <v>47</v>
      </c>
      <c r="F1152" t="s">
        <v>244</v>
      </c>
      <c r="G1152">
        <v>-100</v>
      </c>
      <c r="H1152" t="s">
        <v>147</v>
      </c>
      <c r="I1152" t="s">
        <v>148</v>
      </c>
    </row>
    <row r="1153" spans="1:9">
      <c r="A1153" s="50">
        <v>45709</v>
      </c>
      <c r="B1153" s="51">
        <v>0.8148263888888889</v>
      </c>
      <c r="C1153" t="s">
        <v>145</v>
      </c>
      <c r="D1153" t="s">
        <v>34</v>
      </c>
      <c r="E1153" t="s">
        <v>47</v>
      </c>
      <c r="F1153" t="s">
        <v>244</v>
      </c>
      <c r="G1153">
        <v>-1500</v>
      </c>
      <c r="H1153" t="s">
        <v>147</v>
      </c>
      <c r="I1153" t="s">
        <v>148</v>
      </c>
    </row>
    <row r="1154" spans="1:9">
      <c r="A1154" s="50">
        <v>45709</v>
      </c>
      <c r="B1154" s="51">
        <v>0.8119097222222222</v>
      </c>
      <c r="C1154" t="s">
        <v>151</v>
      </c>
      <c r="D1154" t="s">
        <v>160</v>
      </c>
      <c r="E1154" t="s">
        <v>47</v>
      </c>
      <c r="F1154" t="s">
        <v>7</v>
      </c>
      <c r="G1154">
        <v>-300000</v>
      </c>
      <c r="H1154" t="s">
        <v>147</v>
      </c>
      <c r="I1154" t="s">
        <v>61</v>
      </c>
    </row>
    <row r="1155" spans="1:9">
      <c r="A1155" s="50">
        <v>45709</v>
      </c>
      <c r="B1155" s="51">
        <v>0.8119097222222222</v>
      </c>
      <c r="C1155" t="s">
        <v>151</v>
      </c>
      <c r="D1155" t="s">
        <v>160</v>
      </c>
      <c r="E1155" t="s">
        <v>47</v>
      </c>
      <c r="F1155" t="s">
        <v>7</v>
      </c>
      <c r="G1155">
        <v>300000</v>
      </c>
      <c r="H1155" t="s">
        <v>147</v>
      </c>
      <c r="I1155" t="s">
        <v>57</v>
      </c>
    </row>
    <row r="1156" spans="1:9">
      <c r="A1156" s="50">
        <v>45709</v>
      </c>
      <c r="B1156" s="51">
        <v>0.7649074074074074</v>
      </c>
      <c r="C1156" t="s">
        <v>145</v>
      </c>
      <c r="D1156" t="s">
        <v>44</v>
      </c>
      <c r="E1156" t="s">
        <v>220</v>
      </c>
      <c r="F1156" t="s">
        <v>221</v>
      </c>
      <c r="G1156">
        <v>-70221</v>
      </c>
      <c r="H1156" t="s">
        <v>147</v>
      </c>
      <c r="I1156" t="s">
        <v>57</v>
      </c>
    </row>
    <row r="1157" spans="1:9">
      <c r="A1157" s="50">
        <v>45709</v>
      </c>
      <c r="B1157" s="51">
        <v>0.7355324074074074</v>
      </c>
      <c r="C1157" t="s">
        <v>145</v>
      </c>
      <c r="D1157" t="s">
        <v>34</v>
      </c>
      <c r="E1157" t="s">
        <v>47</v>
      </c>
      <c r="F1157" t="s">
        <v>244</v>
      </c>
      <c r="G1157">
        <v>-1500</v>
      </c>
      <c r="H1157" t="s">
        <v>147</v>
      </c>
      <c r="I1157" t="s">
        <v>148</v>
      </c>
    </row>
    <row r="1158" spans="1:9">
      <c r="A1158" s="50">
        <v>45709</v>
      </c>
      <c r="B1158" s="51">
        <v>0.6899768518518519</v>
      </c>
      <c r="C1158" t="s">
        <v>145</v>
      </c>
      <c r="D1158" t="s">
        <v>38</v>
      </c>
      <c r="E1158" t="s">
        <v>47</v>
      </c>
      <c r="F1158" t="s">
        <v>489</v>
      </c>
      <c r="G1158">
        <v>-1200</v>
      </c>
      <c r="H1158" t="s">
        <v>147</v>
      </c>
      <c r="I1158" t="s">
        <v>148</v>
      </c>
    </row>
    <row r="1159" spans="1:9">
      <c r="A1159" s="50">
        <v>45709</v>
      </c>
      <c r="B1159" s="51">
        <v>0.2863078703703704</v>
      </c>
      <c r="C1159" t="s">
        <v>145</v>
      </c>
      <c r="D1159" t="s">
        <v>34</v>
      </c>
      <c r="E1159" t="s">
        <v>47</v>
      </c>
      <c r="F1159" t="s">
        <v>146</v>
      </c>
      <c r="G1159">
        <v>-1700</v>
      </c>
      <c r="H1159" t="s">
        <v>147</v>
      </c>
      <c r="I1159" t="s">
        <v>148</v>
      </c>
    </row>
    <row r="1160" spans="1:9">
      <c r="A1160" s="50">
        <v>45708</v>
      </c>
      <c r="B1160" s="51">
        <v>0.9796875</v>
      </c>
      <c r="C1160" t="s">
        <v>145</v>
      </c>
      <c r="D1160" t="s">
        <v>42</v>
      </c>
      <c r="E1160" t="s">
        <v>47</v>
      </c>
      <c r="F1160" t="s">
        <v>408</v>
      </c>
      <c r="G1160">
        <v>-5100</v>
      </c>
      <c r="H1160" t="s">
        <v>147</v>
      </c>
      <c r="I1160" t="s">
        <v>154</v>
      </c>
    </row>
    <row r="1161" spans="1:9">
      <c r="A1161" s="50">
        <v>45708</v>
      </c>
      <c r="B1161" s="51">
        <v>0.9796875</v>
      </c>
      <c r="C1161" t="s">
        <v>151</v>
      </c>
      <c r="D1161" t="s">
        <v>160</v>
      </c>
      <c r="E1161" t="s">
        <v>47</v>
      </c>
      <c r="F1161" t="s">
        <v>163</v>
      </c>
      <c r="G1161">
        <v>-10000</v>
      </c>
      <c r="H1161" t="s">
        <v>147</v>
      </c>
      <c r="I1161" t="s">
        <v>57</v>
      </c>
    </row>
    <row r="1162" spans="1:9">
      <c r="A1162" s="50">
        <v>45708</v>
      </c>
      <c r="B1162" s="51">
        <v>0.9796875</v>
      </c>
      <c r="C1162" t="s">
        <v>151</v>
      </c>
      <c r="D1162" t="s">
        <v>160</v>
      </c>
      <c r="E1162" t="s">
        <v>47</v>
      </c>
      <c r="F1162" t="s">
        <v>161</v>
      </c>
      <c r="G1162">
        <v>10000</v>
      </c>
      <c r="H1162" t="s">
        <v>147</v>
      </c>
      <c r="I1162" t="s">
        <v>162</v>
      </c>
    </row>
    <row r="1163" spans="1:9">
      <c r="A1163" s="50">
        <v>45708</v>
      </c>
      <c r="B1163" s="51">
        <v>0.7713773148148149</v>
      </c>
      <c r="C1163" t="s">
        <v>145</v>
      </c>
      <c r="D1163" t="s">
        <v>35</v>
      </c>
      <c r="E1163" t="s">
        <v>47</v>
      </c>
      <c r="F1163" t="s">
        <v>202</v>
      </c>
      <c r="G1163">
        <v>-10000</v>
      </c>
      <c r="H1163" t="s">
        <v>147</v>
      </c>
      <c r="I1163" t="s">
        <v>57</v>
      </c>
    </row>
    <row r="1164" spans="1:9">
      <c r="A1164" s="50">
        <v>45708</v>
      </c>
      <c r="B1164" s="51">
        <v>0.7701273148148148</v>
      </c>
      <c r="C1164" t="s">
        <v>145</v>
      </c>
      <c r="D1164" t="s">
        <v>34</v>
      </c>
      <c r="E1164" t="s">
        <v>47</v>
      </c>
      <c r="F1164" t="s">
        <v>146</v>
      </c>
      <c r="G1164">
        <v>-300</v>
      </c>
      <c r="H1164" t="s">
        <v>147</v>
      </c>
      <c r="I1164" t="s">
        <v>148</v>
      </c>
    </row>
    <row r="1165" spans="1:9">
      <c r="A1165" s="50">
        <v>45708</v>
      </c>
      <c r="B1165" s="51">
        <v>0.737650462962963</v>
      </c>
      <c r="C1165" t="s">
        <v>145</v>
      </c>
      <c r="D1165" t="s">
        <v>34</v>
      </c>
      <c r="E1165" t="s">
        <v>47</v>
      </c>
      <c r="F1165" t="s">
        <v>244</v>
      </c>
      <c r="G1165">
        <v>-1500</v>
      </c>
      <c r="H1165" t="s">
        <v>147</v>
      </c>
      <c r="I1165" t="s">
        <v>148</v>
      </c>
    </row>
    <row r="1166" spans="1:9">
      <c r="A1166" s="50">
        <v>45708</v>
      </c>
      <c r="B1166" s="51">
        <v>0.7366435185185185</v>
      </c>
      <c r="C1166" t="s">
        <v>149</v>
      </c>
      <c r="D1166" t="s">
        <v>29</v>
      </c>
      <c r="E1166" t="s">
        <v>47</v>
      </c>
      <c r="F1166" t="s">
        <v>509</v>
      </c>
      <c r="G1166">
        <v>1</v>
      </c>
      <c r="H1166" t="s">
        <v>147</v>
      </c>
      <c r="I1166" t="s">
        <v>57</v>
      </c>
    </row>
    <row r="1167" spans="1:9">
      <c r="A1167" s="50">
        <v>45708</v>
      </c>
      <c r="B1167" s="51">
        <v>0.2868865740740741</v>
      </c>
      <c r="C1167" t="s">
        <v>145</v>
      </c>
      <c r="D1167" t="s">
        <v>34</v>
      </c>
      <c r="E1167" t="s">
        <v>47</v>
      </c>
      <c r="F1167" t="s">
        <v>146</v>
      </c>
      <c r="G1167">
        <v>-1700</v>
      </c>
      <c r="H1167" t="s">
        <v>147</v>
      </c>
      <c r="I1167" t="s">
        <v>148</v>
      </c>
    </row>
    <row r="1168" spans="1:9">
      <c r="A1168" s="50">
        <v>45707</v>
      </c>
      <c r="B1168" s="51">
        <v>0.7495023148148148</v>
      </c>
      <c r="C1168" t="s">
        <v>145</v>
      </c>
      <c r="D1168" t="s">
        <v>37</v>
      </c>
      <c r="E1168" t="s">
        <v>47</v>
      </c>
      <c r="F1168" t="s">
        <v>433</v>
      </c>
      <c r="G1168">
        <v>-66000</v>
      </c>
      <c r="H1168" t="s">
        <v>147</v>
      </c>
      <c r="I1168" t="s">
        <v>148</v>
      </c>
    </row>
    <row r="1169" spans="1:9">
      <c r="A1169" s="50">
        <v>45707</v>
      </c>
      <c r="B1169" s="51">
        <v>0.7372453703703704</v>
      </c>
      <c r="C1169" t="s">
        <v>145</v>
      </c>
      <c r="D1169" t="s">
        <v>34</v>
      </c>
      <c r="E1169" t="s">
        <v>47</v>
      </c>
      <c r="F1169" t="s">
        <v>146</v>
      </c>
      <c r="G1169">
        <v>-1700</v>
      </c>
      <c r="H1169" t="s">
        <v>147</v>
      </c>
      <c r="I1169" t="s">
        <v>148</v>
      </c>
    </row>
    <row r="1170" spans="1:9">
      <c r="A1170" s="50">
        <v>45707</v>
      </c>
      <c r="B1170" s="51">
        <v>0.3272106481481482</v>
      </c>
      <c r="C1170" t="s">
        <v>145</v>
      </c>
      <c r="D1170" t="s">
        <v>38</v>
      </c>
      <c r="E1170" t="s">
        <v>47</v>
      </c>
      <c r="F1170" t="s">
        <v>510</v>
      </c>
      <c r="G1170">
        <v>-3300</v>
      </c>
      <c r="H1170" t="s">
        <v>147</v>
      </c>
      <c r="I1170" t="s">
        <v>148</v>
      </c>
    </row>
    <row r="1171" spans="1:9">
      <c r="A1171" s="50">
        <v>45707</v>
      </c>
      <c r="B1171" s="51">
        <v>0.2876157407407408</v>
      </c>
      <c r="C1171" t="s">
        <v>145</v>
      </c>
      <c r="D1171" t="s">
        <v>34</v>
      </c>
      <c r="E1171" t="s">
        <v>47</v>
      </c>
      <c r="F1171" t="s">
        <v>146</v>
      </c>
      <c r="G1171">
        <v>-1700</v>
      </c>
      <c r="H1171" t="s">
        <v>147</v>
      </c>
      <c r="I1171" t="s">
        <v>148</v>
      </c>
    </row>
    <row r="1172" spans="1:9">
      <c r="A1172" s="50">
        <v>45706</v>
      </c>
      <c r="B1172" s="51">
        <v>0.8756712962962963</v>
      </c>
      <c r="C1172" t="s">
        <v>145</v>
      </c>
      <c r="D1172" t="s">
        <v>42</v>
      </c>
      <c r="E1172" t="s">
        <v>47</v>
      </c>
      <c r="F1172" t="s">
        <v>158</v>
      </c>
      <c r="G1172">
        <v>-20000</v>
      </c>
      <c r="H1172" t="s">
        <v>147</v>
      </c>
      <c r="I1172" t="s">
        <v>57</v>
      </c>
    </row>
    <row r="1173" spans="1:9">
      <c r="A1173" s="50">
        <v>45706</v>
      </c>
      <c r="B1173" s="51">
        <v>0.8145717592592593</v>
      </c>
      <c r="C1173" t="s">
        <v>145</v>
      </c>
      <c r="D1173" t="s">
        <v>34</v>
      </c>
      <c r="E1173" t="s">
        <v>47</v>
      </c>
      <c r="F1173" t="s">
        <v>146</v>
      </c>
      <c r="G1173">
        <v>-1700</v>
      </c>
      <c r="H1173" t="s">
        <v>147</v>
      </c>
      <c r="I1173" t="s">
        <v>148</v>
      </c>
    </row>
    <row r="1174" spans="1:9">
      <c r="A1174" s="50">
        <v>45706</v>
      </c>
      <c r="B1174" s="51">
        <v>0.7863541666666667</v>
      </c>
      <c r="C1174" t="s">
        <v>145</v>
      </c>
      <c r="D1174" t="s">
        <v>42</v>
      </c>
      <c r="E1174" t="s">
        <v>47</v>
      </c>
      <c r="F1174" t="s">
        <v>159</v>
      </c>
      <c r="G1174">
        <v>-65610</v>
      </c>
      <c r="H1174" t="s">
        <v>147</v>
      </c>
      <c r="I1174" t="s">
        <v>148</v>
      </c>
    </row>
    <row r="1175" spans="1:9">
      <c r="A1175" s="50">
        <v>45706</v>
      </c>
      <c r="B1175" s="51">
        <v>0.7859606481481481</v>
      </c>
      <c r="C1175" t="s">
        <v>151</v>
      </c>
      <c r="D1175" t="s">
        <v>160</v>
      </c>
      <c r="E1175" t="s">
        <v>47</v>
      </c>
      <c r="F1175" t="s">
        <v>7</v>
      </c>
      <c r="G1175">
        <v>-200000</v>
      </c>
      <c r="H1175" t="s">
        <v>147</v>
      </c>
      <c r="I1175" t="s">
        <v>61</v>
      </c>
    </row>
    <row r="1176" spans="1:9">
      <c r="A1176" s="50">
        <v>45706</v>
      </c>
      <c r="B1176" s="51">
        <v>0.7859606481481481</v>
      </c>
      <c r="C1176" t="s">
        <v>151</v>
      </c>
      <c r="D1176" t="s">
        <v>160</v>
      </c>
      <c r="E1176" t="s">
        <v>47</v>
      </c>
      <c r="F1176" t="s">
        <v>7</v>
      </c>
      <c r="G1176">
        <v>200000</v>
      </c>
      <c r="H1176" t="s">
        <v>147</v>
      </c>
      <c r="I1176" t="s">
        <v>57</v>
      </c>
    </row>
    <row r="1177" spans="1:9">
      <c r="A1177" s="50">
        <v>45706</v>
      </c>
      <c r="B1177" s="51">
        <v>0.6202314814814814</v>
      </c>
      <c r="C1177" t="s">
        <v>145</v>
      </c>
      <c r="D1177" t="s">
        <v>42</v>
      </c>
      <c r="E1177" t="s">
        <v>47</v>
      </c>
      <c r="F1177" t="s">
        <v>159</v>
      </c>
      <c r="G1177">
        <v>-71110</v>
      </c>
      <c r="H1177" t="s">
        <v>147</v>
      </c>
      <c r="I1177" t="s">
        <v>148</v>
      </c>
    </row>
    <row r="1178" spans="1:9">
      <c r="A1178" s="50">
        <v>45706</v>
      </c>
      <c r="B1178" s="51">
        <v>0.2861342592592593</v>
      </c>
      <c r="C1178" t="s">
        <v>145</v>
      </c>
      <c r="D1178" t="s">
        <v>34</v>
      </c>
      <c r="E1178" t="s">
        <v>47</v>
      </c>
      <c r="F1178" t="s">
        <v>146</v>
      </c>
      <c r="G1178">
        <v>-1700</v>
      </c>
      <c r="H1178" t="s">
        <v>147</v>
      </c>
      <c r="I1178" t="s">
        <v>148</v>
      </c>
    </row>
    <row r="1179" spans="1:9">
      <c r="A1179" s="50">
        <v>45705</v>
      </c>
      <c r="B1179" s="51">
        <v>0.7805555555555556</v>
      </c>
      <c r="C1179" t="s">
        <v>145</v>
      </c>
      <c r="D1179" t="s">
        <v>35</v>
      </c>
      <c r="E1179" t="s">
        <v>204</v>
      </c>
      <c r="F1179" t="s">
        <v>511</v>
      </c>
      <c r="G1179">
        <v>-28200</v>
      </c>
      <c r="H1179" t="s">
        <v>147</v>
      </c>
      <c r="I1179" t="s">
        <v>57</v>
      </c>
    </row>
    <row r="1180" spans="1:9">
      <c r="A1180" s="50">
        <v>45705</v>
      </c>
      <c r="B1180" s="51">
        <v>0.4522569444444444</v>
      </c>
      <c r="C1180" t="s">
        <v>145</v>
      </c>
      <c r="D1180" t="s">
        <v>42</v>
      </c>
      <c r="E1180" t="s">
        <v>47</v>
      </c>
      <c r="F1180" t="s">
        <v>512</v>
      </c>
      <c r="G1180">
        <v>-7890</v>
      </c>
      <c r="H1180" t="s">
        <v>147</v>
      </c>
      <c r="I1180" t="s">
        <v>148</v>
      </c>
    </row>
    <row r="1181" spans="1:9">
      <c r="A1181" s="50">
        <v>45703</v>
      </c>
      <c r="B1181" s="51">
        <v>0.9109953703703704</v>
      </c>
      <c r="C1181" t="s">
        <v>151</v>
      </c>
      <c r="D1181" t="s">
        <v>160</v>
      </c>
      <c r="E1181" t="s">
        <v>47</v>
      </c>
      <c r="F1181" t="s">
        <v>7</v>
      </c>
      <c r="G1181">
        <v>50000</v>
      </c>
      <c r="H1181" t="s">
        <v>147</v>
      </c>
      <c r="I1181" t="s">
        <v>57</v>
      </c>
    </row>
    <row r="1182" spans="1:9">
      <c r="A1182" s="50">
        <v>45703</v>
      </c>
      <c r="B1182" s="51">
        <v>0.9109953703703704</v>
      </c>
      <c r="C1182" t="s">
        <v>151</v>
      </c>
      <c r="D1182" t="s">
        <v>160</v>
      </c>
      <c r="E1182" t="s">
        <v>47</v>
      </c>
      <c r="F1182" t="s">
        <v>161</v>
      </c>
      <c r="G1182">
        <v>-50000</v>
      </c>
      <c r="H1182" t="s">
        <v>147</v>
      </c>
      <c r="I1182" t="s">
        <v>162</v>
      </c>
    </row>
    <row r="1183" spans="1:9">
      <c r="A1183" s="50">
        <v>45703</v>
      </c>
      <c r="B1183" s="51">
        <v>0.7662152777777778</v>
      </c>
      <c r="C1183" t="s">
        <v>151</v>
      </c>
      <c r="D1183" t="s">
        <v>151</v>
      </c>
      <c r="E1183" t="s">
        <v>47</v>
      </c>
      <c r="F1183" t="s">
        <v>161</v>
      </c>
      <c r="G1183">
        <v>-50000</v>
      </c>
      <c r="H1183" t="s">
        <v>147</v>
      </c>
      <c r="I1183" t="s">
        <v>162</v>
      </c>
    </row>
    <row r="1184" spans="1:9">
      <c r="A1184" s="50">
        <v>45703</v>
      </c>
      <c r="B1184" s="51">
        <v>0.7422222222222222</v>
      </c>
      <c r="C1184" t="s">
        <v>145</v>
      </c>
      <c r="D1184" t="s">
        <v>34</v>
      </c>
      <c r="E1184" t="s">
        <v>47</v>
      </c>
      <c r="F1184" t="s">
        <v>146</v>
      </c>
      <c r="G1184">
        <v>-1700</v>
      </c>
      <c r="H1184" t="s">
        <v>147</v>
      </c>
      <c r="I1184" t="s">
        <v>148</v>
      </c>
    </row>
    <row r="1185" spans="1:9">
      <c r="A1185" s="50">
        <v>45703</v>
      </c>
      <c r="B1185" s="51">
        <v>0.695625</v>
      </c>
      <c r="C1185" t="s">
        <v>145</v>
      </c>
      <c r="D1185" t="s">
        <v>34</v>
      </c>
      <c r="E1185" t="s">
        <v>47</v>
      </c>
      <c r="F1185" t="s">
        <v>146</v>
      </c>
      <c r="G1185">
        <v>-1500</v>
      </c>
      <c r="H1185" t="s">
        <v>147</v>
      </c>
      <c r="I1185" t="s">
        <v>148</v>
      </c>
    </row>
    <row r="1186" spans="1:9">
      <c r="A1186" s="50">
        <v>45703</v>
      </c>
      <c r="B1186" s="51">
        <v>0.6636805555555556</v>
      </c>
      <c r="C1186" t="s">
        <v>151</v>
      </c>
      <c r="D1186" t="s">
        <v>151</v>
      </c>
      <c r="E1186" t="s">
        <v>47</v>
      </c>
      <c r="F1186" t="s">
        <v>264</v>
      </c>
      <c r="G1186">
        <v>100000</v>
      </c>
      <c r="H1186" t="s">
        <v>147</v>
      </c>
      <c r="I1186" t="s">
        <v>162</v>
      </c>
    </row>
    <row r="1187" spans="1:9">
      <c r="A1187" s="50">
        <v>45703</v>
      </c>
      <c r="B1187" s="51">
        <v>0.6633217592592593</v>
      </c>
      <c r="C1187" t="s">
        <v>151</v>
      </c>
      <c r="D1187" t="s">
        <v>151</v>
      </c>
      <c r="E1187" t="s">
        <v>47</v>
      </c>
      <c r="F1187" t="s">
        <v>163</v>
      </c>
      <c r="G1187">
        <v>-100000</v>
      </c>
      <c r="H1187" t="s">
        <v>147</v>
      </c>
      <c r="I1187" t="s">
        <v>57</v>
      </c>
    </row>
    <row r="1188" spans="1:9">
      <c r="A1188" s="50">
        <v>45703</v>
      </c>
      <c r="B1188" s="51">
        <v>0.6520254629629629</v>
      </c>
      <c r="C1188" t="s">
        <v>151</v>
      </c>
      <c r="D1188" t="s">
        <v>160</v>
      </c>
      <c r="E1188" t="s">
        <v>47</v>
      </c>
      <c r="F1188" t="s">
        <v>163</v>
      </c>
      <c r="G1188">
        <v>-91990</v>
      </c>
      <c r="H1188" t="s">
        <v>147</v>
      </c>
      <c r="I1188" t="s">
        <v>57</v>
      </c>
    </row>
    <row r="1189" spans="1:9">
      <c r="A1189" s="50">
        <v>45703</v>
      </c>
      <c r="B1189" s="51">
        <v>0.6520254629629629</v>
      </c>
      <c r="C1189" t="s">
        <v>145</v>
      </c>
      <c r="D1189" t="s">
        <v>35</v>
      </c>
      <c r="E1189" t="s">
        <v>47</v>
      </c>
      <c r="F1189" t="s">
        <v>197</v>
      </c>
      <c r="G1189">
        <v>-100000</v>
      </c>
      <c r="H1189" t="s">
        <v>147</v>
      </c>
      <c r="I1189" t="s">
        <v>162</v>
      </c>
    </row>
    <row r="1190" spans="1:9">
      <c r="A1190" s="50">
        <v>45703</v>
      </c>
      <c r="B1190" s="51">
        <v>0.6520254629629629</v>
      </c>
      <c r="C1190" t="s">
        <v>151</v>
      </c>
      <c r="D1190" t="s">
        <v>160</v>
      </c>
      <c r="E1190" t="s">
        <v>47</v>
      </c>
      <c r="F1190" t="s">
        <v>161</v>
      </c>
      <c r="G1190">
        <v>91990</v>
      </c>
      <c r="H1190" t="s">
        <v>147</v>
      </c>
      <c r="I1190" t="s">
        <v>162</v>
      </c>
    </row>
    <row r="1191" spans="1:9">
      <c r="A1191" s="50">
        <v>45703</v>
      </c>
      <c r="B1191" s="51">
        <v>0.6500925925925926</v>
      </c>
      <c r="C1191" t="s">
        <v>151</v>
      </c>
      <c r="D1191" t="s">
        <v>160</v>
      </c>
      <c r="E1191" t="s">
        <v>47</v>
      </c>
      <c r="F1191" t="s">
        <v>7</v>
      </c>
      <c r="G1191">
        <v>-200000</v>
      </c>
      <c r="H1191" t="s">
        <v>147</v>
      </c>
      <c r="I1191" t="s">
        <v>61</v>
      </c>
    </row>
    <row r="1192" spans="1:9">
      <c r="A1192" s="50">
        <v>45703</v>
      </c>
      <c r="B1192" s="51">
        <v>0.6500925925925926</v>
      </c>
      <c r="C1192" t="s">
        <v>151</v>
      </c>
      <c r="D1192" t="s">
        <v>160</v>
      </c>
      <c r="E1192" t="s">
        <v>47</v>
      </c>
      <c r="F1192" t="s">
        <v>7</v>
      </c>
      <c r="G1192">
        <v>200000</v>
      </c>
      <c r="H1192" t="s">
        <v>147</v>
      </c>
      <c r="I1192" t="s">
        <v>57</v>
      </c>
    </row>
    <row r="1193" spans="1:9">
      <c r="A1193" s="50">
        <v>45703</v>
      </c>
      <c r="B1193" s="51">
        <v>0.6223263888888889</v>
      </c>
      <c r="C1193" t="s">
        <v>145</v>
      </c>
      <c r="D1193" t="s">
        <v>42</v>
      </c>
      <c r="E1193" t="s">
        <v>47</v>
      </c>
      <c r="F1193" t="s">
        <v>158</v>
      </c>
      <c r="G1193">
        <v>-20000</v>
      </c>
      <c r="H1193" t="s">
        <v>147</v>
      </c>
      <c r="I1193" t="s">
        <v>57</v>
      </c>
    </row>
    <row r="1194" spans="1:9">
      <c r="A1194" s="50">
        <v>45703</v>
      </c>
      <c r="B1194" s="51">
        <v>0.4588773148148148</v>
      </c>
      <c r="C1194" t="s">
        <v>151</v>
      </c>
      <c r="D1194" t="s">
        <v>160</v>
      </c>
      <c r="E1194" t="s">
        <v>47</v>
      </c>
      <c r="F1194" t="s">
        <v>7</v>
      </c>
      <c r="G1194">
        <v>-30000</v>
      </c>
      <c r="H1194" t="s">
        <v>147</v>
      </c>
      <c r="I1194" t="s">
        <v>61</v>
      </c>
    </row>
    <row r="1195" spans="1:9">
      <c r="A1195" s="50">
        <v>45703</v>
      </c>
      <c r="B1195" s="51">
        <v>0.4588773148148148</v>
      </c>
      <c r="C1195" t="s">
        <v>151</v>
      </c>
      <c r="D1195" t="s">
        <v>160</v>
      </c>
      <c r="E1195" t="s">
        <v>47</v>
      </c>
      <c r="F1195" t="s">
        <v>7</v>
      </c>
      <c r="G1195">
        <v>30000</v>
      </c>
      <c r="H1195" t="s">
        <v>147</v>
      </c>
      <c r="I1195" t="s">
        <v>57</v>
      </c>
    </row>
    <row r="1196" spans="1:9">
      <c r="A1196" s="50">
        <v>45703</v>
      </c>
      <c r="B1196" s="51">
        <v>0.3895486111111111</v>
      </c>
      <c r="C1196" t="s">
        <v>145</v>
      </c>
      <c r="D1196" t="s">
        <v>42</v>
      </c>
      <c r="E1196" t="s">
        <v>47</v>
      </c>
      <c r="F1196" t="s">
        <v>158</v>
      </c>
      <c r="G1196">
        <v>-70000</v>
      </c>
      <c r="H1196" t="s">
        <v>147</v>
      </c>
      <c r="I1196" t="s">
        <v>57</v>
      </c>
    </row>
    <row r="1197" spans="1:9">
      <c r="A1197" s="50">
        <v>45703</v>
      </c>
      <c r="B1197" s="51">
        <v>0.3763425925925926</v>
      </c>
      <c r="C1197" t="s">
        <v>145</v>
      </c>
      <c r="D1197" t="s">
        <v>42</v>
      </c>
      <c r="E1197" t="s">
        <v>47</v>
      </c>
      <c r="F1197" t="s">
        <v>158</v>
      </c>
      <c r="G1197">
        <v>-330000</v>
      </c>
      <c r="H1197" t="s">
        <v>147</v>
      </c>
      <c r="I1197" t="s">
        <v>57</v>
      </c>
    </row>
    <row r="1198" spans="1:9">
      <c r="A1198" s="50">
        <v>45703</v>
      </c>
      <c r="B1198" s="51">
        <v>0.2941435185185185</v>
      </c>
      <c r="C1198" t="s">
        <v>145</v>
      </c>
      <c r="D1198" t="s">
        <v>34</v>
      </c>
      <c r="E1198" t="s">
        <v>47</v>
      </c>
      <c r="F1198" t="s">
        <v>146</v>
      </c>
      <c r="G1198">
        <v>-1700</v>
      </c>
      <c r="H1198" t="s">
        <v>147</v>
      </c>
      <c r="I1198" t="s">
        <v>148</v>
      </c>
    </row>
    <row r="1199" spans="1:9">
      <c r="A1199" s="50">
        <v>45703</v>
      </c>
      <c r="B1199" s="51">
        <v>0.04712962962962963</v>
      </c>
      <c r="C1199" t="s">
        <v>145</v>
      </c>
      <c r="D1199" t="s">
        <v>42</v>
      </c>
      <c r="E1199" t="s">
        <v>47</v>
      </c>
      <c r="F1199" t="s">
        <v>225</v>
      </c>
      <c r="G1199">
        <v>-1990</v>
      </c>
      <c r="H1199" t="s">
        <v>147</v>
      </c>
      <c r="I1199" t="s">
        <v>154</v>
      </c>
    </row>
    <row r="1200" spans="1:9">
      <c r="A1200" s="50">
        <v>45703</v>
      </c>
      <c r="B1200" s="51">
        <v>0.04712962962962963</v>
      </c>
      <c r="C1200" t="s">
        <v>151</v>
      </c>
      <c r="D1200" t="s">
        <v>160</v>
      </c>
      <c r="E1200" t="s">
        <v>47</v>
      </c>
      <c r="F1200" t="s">
        <v>163</v>
      </c>
      <c r="G1200">
        <v>-10000</v>
      </c>
      <c r="H1200" t="s">
        <v>147</v>
      </c>
      <c r="I1200" t="s">
        <v>57</v>
      </c>
    </row>
    <row r="1201" spans="1:9">
      <c r="A1201" s="50">
        <v>45703</v>
      </c>
      <c r="B1201" s="51">
        <v>0.04712962962962963</v>
      </c>
      <c r="C1201" t="s">
        <v>151</v>
      </c>
      <c r="D1201" t="s">
        <v>160</v>
      </c>
      <c r="E1201" t="s">
        <v>47</v>
      </c>
      <c r="F1201" t="s">
        <v>161</v>
      </c>
      <c r="G1201">
        <v>10000</v>
      </c>
      <c r="H1201" t="s">
        <v>147</v>
      </c>
      <c r="I1201" t="s">
        <v>162</v>
      </c>
    </row>
    <row r="1202" spans="1:9">
      <c r="A1202" s="50">
        <v>45702</v>
      </c>
      <c r="B1202" s="51">
        <v>0.869525462962963</v>
      </c>
      <c r="C1202" t="s">
        <v>145</v>
      </c>
      <c r="D1202" t="s">
        <v>42</v>
      </c>
      <c r="E1202" t="s">
        <v>47</v>
      </c>
      <c r="F1202" t="s">
        <v>158</v>
      </c>
      <c r="G1202">
        <v>-10000</v>
      </c>
      <c r="H1202" t="s">
        <v>147</v>
      </c>
      <c r="I1202" t="s">
        <v>57</v>
      </c>
    </row>
    <row r="1203" spans="1:9">
      <c r="A1203" s="50">
        <v>45702</v>
      </c>
      <c r="B1203" s="51">
        <v>0.7981712962962964</v>
      </c>
      <c r="C1203" t="s">
        <v>145</v>
      </c>
      <c r="D1203" t="s">
        <v>42</v>
      </c>
      <c r="E1203" t="s">
        <v>47</v>
      </c>
      <c r="F1203" t="s">
        <v>158</v>
      </c>
      <c r="G1203">
        <v>-10000</v>
      </c>
      <c r="H1203" t="s">
        <v>147</v>
      </c>
      <c r="I1203" t="s">
        <v>57</v>
      </c>
    </row>
    <row r="1204" spans="1:9">
      <c r="A1204" s="50">
        <v>45702</v>
      </c>
      <c r="B1204" s="51">
        <v>0.7906712962962963</v>
      </c>
      <c r="C1204" t="s">
        <v>145</v>
      </c>
      <c r="D1204" t="s">
        <v>38</v>
      </c>
      <c r="E1204" t="s">
        <v>47</v>
      </c>
      <c r="F1204" t="s">
        <v>155</v>
      </c>
      <c r="G1204">
        <v>-6980</v>
      </c>
      <c r="H1204" t="s">
        <v>147</v>
      </c>
      <c r="I1204" t="s">
        <v>148</v>
      </c>
    </row>
    <row r="1205" spans="1:9">
      <c r="A1205" s="50">
        <v>45702</v>
      </c>
      <c r="B1205" s="51">
        <v>0.7360648148148148</v>
      </c>
      <c r="C1205" t="s">
        <v>145</v>
      </c>
      <c r="D1205" t="s">
        <v>34</v>
      </c>
      <c r="E1205" t="s">
        <v>47</v>
      </c>
      <c r="F1205" t="s">
        <v>146</v>
      </c>
      <c r="G1205">
        <v>-1700</v>
      </c>
      <c r="H1205" t="s">
        <v>147</v>
      </c>
      <c r="I1205" t="s">
        <v>148</v>
      </c>
    </row>
    <row r="1206" spans="1:9">
      <c r="A1206" s="50">
        <v>45702</v>
      </c>
      <c r="B1206" s="51">
        <v>0.6912615740740741</v>
      </c>
      <c r="C1206" t="s">
        <v>151</v>
      </c>
      <c r="D1206" t="s">
        <v>47</v>
      </c>
      <c r="E1206" t="s">
        <v>47</v>
      </c>
      <c r="F1206" t="s">
        <v>513</v>
      </c>
      <c r="G1206">
        <v>-100000</v>
      </c>
      <c r="H1206" t="s">
        <v>147</v>
      </c>
      <c r="I1206" t="s">
        <v>57</v>
      </c>
    </row>
    <row r="1207" spans="1:9">
      <c r="A1207" s="50">
        <v>45702</v>
      </c>
      <c r="B1207" s="51">
        <v>0.2890277777777778</v>
      </c>
      <c r="C1207" t="s">
        <v>145</v>
      </c>
      <c r="D1207" t="s">
        <v>34</v>
      </c>
      <c r="E1207" t="s">
        <v>47</v>
      </c>
      <c r="F1207" t="s">
        <v>146</v>
      </c>
      <c r="G1207">
        <v>-1700</v>
      </c>
      <c r="H1207" t="s">
        <v>147</v>
      </c>
      <c r="I1207" t="s">
        <v>148</v>
      </c>
    </row>
    <row r="1208" spans="1:9">
      <c r="A1208" s="50">
        <v>45701</v>
      </c>
      <c r="B1208" s="51">
        <v>0.9869212962962963</v>
      </c>
      <c r="C1208" t="s">
        <v>145</v>
      </c>
      <c r="D1208" t="s">
        <v>35</v>
      </c>
      <c r="E1208" t="s">
        <v>47</v>
      </c>
      <c r="F1208" t="s">
        <v>197</v>
      </c>
      <c r="G1208">
        <v>-100000</v>
      </c>
      <c r="H1208" t="s">
        <v>147</v>
      </c>
      <c r="I1208" t="s">
        <v>162</v>
      </c>
    </row>
    <row r="1209" spans="1:9">
      <c r="A1209" s="50">
        <v>45701</v>
      </c>
      <c r="B1209" s="51">
        <v>0.9866550925925925</v>
      </c>
      <c r="C1209" t="s">
        <v>151</v>
      </c>
      <c r="D1209" t="s">
        <v>151</v>
      </c>
      <c r="E1209" t="s">
        <v>47</v>
      </c>
      <c r="F1209" t="s">
        <v>514</v>
      </c>
      <c r="G1209">
        <v>100000</v>
      </c>
      <c r="H1209" t="s">
        <v>147</v>
      </c>
      <c r="I1209" t="s">
        <v>162</v>
      </c>
    </row>
    <row r="1210" spans="1:9">
      <c r="A1210" s="50">
        <v>45701</v>
      </c>
      <c r="B1210" s="51">
        <v>0.7404282407407408</v>
      </c>
      <c r="C1210" t="s">
        <v>145</v>
      </c>
      <c r="D1210" t="s">
        <v>34</v>
      </c>
      <c r="E1210" t="s">
        <v>47</v>
      </c>
      <c r="F1210" t="s">
        <v>146</v>
      </c>
      <c r="G1210">
        <v>-1700</v>
      </c>
      <c r="H1210" t="s">
        <v>147</v>
      </c>
      <c r="I1210" t="s">
        <v>148</v>
      </c>
    </row>
    <row r="1211" spans="1:9">
      <c r="A1211" s="50">
        <v>45701</v>
      </c>
      <c r="B1211" s="51">
        <v>0.376412037037037</v>
      </c>
      <c r="C1211" t="s">
        <v>151</v>
      </c>
      <c r="D1211" t="s">
        <v>160</v>
      </c>
      <c r="E1211" t="s">
        <v>47</v>
      </c>
      <c r="F1211" t="s">
        <v>7</v>
      </c>
      <c r="G1211">
        <v>-100000</v>
      </c>
      <c r="H1211" t="s">
        <v>147</v>
      </c>
      <c r="I1211" t="s">
        <v>57</v>
      </c>
    </row>
    <row r="1212" spans="1:9">
      <c r="A1212" s="50">
        <v>45701</v>
      </c>
      <c r="B1212" s="51">
        <v>0.2956481481481482</v>
      </c>
      <c r="C1212" t="s">
        <v>145</v>
      </c>
      <c r="D1212" t="s">
        <v>34</v>
      </c>
      <c r="E1212" t="s">
        <v>47</v>
      </c>
      <c r="F1212" t="s">
        <v>146</v>
      </c>
      <c r="G1212">
        <v>-1700</v>
      </c>
      <c r="H1212" t="s">
        <v>147</v>
      </c>
      <c r="I1212" t="s">
        <v>148</v>
      </c>
    </row>
    <row r="1213" spans="1:9">
      <c r="A1213" s="50">
        <v>45701</v>
      </c>
      <c r="B1213" s="51">
        <v>0.1433680555555556</v>
      </c>
      <c r="C1213" t="s">
        <v>151</v>
      </c>
      <c r="D1213" t="s">
        <v>151</v>
      </c>
      <c r="E1213" t="s">
        <v>47</v>
      </c>
      <c r="F1213" t="s">
        <v>515</v>
      </c>
      <c r="G1213">
        <v>40470</v>
      </c>
      <c r="H1213" t="s">
        <v>147</v>
      </c>
      <c r="I1213" t="s">
        <v>57</v>
      </c>
    </row>
    <row r="1214" spans="1:9">
      <c r="A1214" s="50">
        <v>45700</v>
      </c>
      <c r="B1214" s="51">
        <v>0.8922337962962963</v>
      </c>
      <c r="C1214" t="s">
        <v>145</v>
      </c>
      <c r="D1214" t="s">
        <v>34</v>
      </c>
      <c r="E1214" t="s">
        <v>47</v>
      </c>
      <c r="F1214" t="s">
        <v>146</v>
      </c>
      <c r="G1214">
        <v>-1700</v>
      </c>
      <c r="H1214" t="s">
        <v>147</v>
      </c>
      <c r="I1214" t="s">
        <v>148</v>
      </c>
    </row>
    <row r="1215" spans="1:9">
      <c r="A1215" s="50">
        <v>45700</v>
      </c>
      <c r="B1215" s="51">
        <v>0.812962962962963</v>
      </c>
      <c r="C1215" t="s">
        <v>145</v>
      </c>
      <c r="D1215" t="s">
        <v>42</v>
      </c>
      <c r="E1215" t="s">
        <v>47</v>
      </c>
      <c r="F1215" t="s">
        <v>158</v>
      </c>
      <c r="G1215">
        <v>-10000</v>
      </c>
      <c r="H1215" t="s">
        <v>147</v>
      </c>
      <c r="I1215" t="s">
        <v>57</v>
      </c>
    </row>
    <row r="1216" spans="1:9">
      <c r="A1216" s="50">
        <v>45700</v>
      </c>
      <c r="B1216" s="51">
        <v>0.7904861111111111</v>
      </c>
      <c r="C1216" t="s">
        <v>145</v>
      </c>
      <c r="D1216" t="s">
        <v>38</v>
      </c>
      <c r="E1216" t="s">
        <v>47</v>
      </c>
      <c r="F1216" t="s">
        <v>155</v>
      </c>
      <c r="G1216">
        <v>-19880</v>
      </c>
      <c r="H1216" t="s">
        <v>147</v>
      </c>
      <c r="I1216" t="s">
        <v>148</v>
      </c>
    </row>
    <row r="1217" spans="1:9">
      <c r="A1217" s="50">
        <v>45700</v>
      </c>
      <c r="B1217" s="51">
        <v>0.6487152777777778</v>
      </c>
      <c r="C1217" t="s">
        <v>145</v>
      </c>
      <c r="D1217" t="s">
        <v>35</v>
      </c>
      <c r="E1217" t="s">
        <v>47</v>
      </c>
      <c r="F1217" t="s">
        <v>197</v>
      </c>
      <c r="G1217">
        <v>-32250</v>
      </c>
      <c r="H1217" t="s">
        <v>147</v>
      </c>
      <c r="I1217" t="s">
        <v>162</v>
      </c>
    </row>
    <row r="1218" spans="1:9">
      <c r="A1218" s="50">
        <v>45700</v>
      </c>
      <c r="B1218" s="51">
        <v>0.6487037037037037</v>
      </c>
      <c r="C1218" t="s">
        <v>151</v>
      </c>
      <c r="D1218" t="s">
        <v>160</v>
      </c>
      <c r="E1218" t="s">
        <v>47</v>
      </c>
      <c r="F1218" t="s">
        <v>163</v>
      </c>
      <c r="G1218">
        <v>-27250</v>
      </c>
      <c r="H1218" t="s">
        <v>147</v>
      </c>
      <c r="I1218" t="s">
        <v>57</v>
      </c>
    </row>
    <row r="1219" spans="1:9">
      <c r="A1219" s="50">
        <v>45700</v>
      </c>
      <c r="B1219" s="51">
        <v>0.6487037037037037</v>
      </c>
      <c r="C1219" t="s">
        <v>151</v>
      </c>
      <c r="D1219" t="s">
        <v>160</v>
      </c>
      <c r="E1219" t="s">
        <v>47</v>
      </c>
      <c r="F1219" t="s">
        <v>161</v>
      </c>
      <c r="G1219">
        <v>27250</v>
      </c>
      <c r="H1219" t="s">
        <v>147</v>
      </c>
      <c r="I1219" t="s">
        <v>162</v>
      </c>
    </row>
    <row r="1220" spans="1:9">
      <c r="A1220" s="50">
        <v>45700</v>
      </c>
      <c r="B1220" s="51">
        <v>0.4869212962962963</v>
      </c>
      <c r="C1220" t="s">
        <v>151</v>
      </c>
      <c r="D1220" t="s">
        <v>160</v>
      </c>
      <c r="E1220" t="s">
        <v>47</v>
      </c>
      <c r="F1220" t="s">
        <v>163</v>
      </c>
      <c r="G1220">
        <v>-10000</v>
      </c>
      <c r="H1220" t="s">
        <v>147</v>
      </c>
      <c r="I1220" t="s">
        <v>57</v>
      </c>
    </row>
    <row r="1221" spans="1:9">
      <c r="A1221" s="50">
        <v>45700</v>
      </c>
      <c r="B1221" s="51">
        <v>0.4869097222222222</v>
      </c>
      <c r="C1221" t="s">
        <v>151</v>
      </c>
      <c r="D1221" t="s">
        <v>160</v>
      </c>
      <c r="E1221" t="s">
        <v>47</v>
      </c>
      <c r="F1221" t="s">
        <v>161</v>
      </c>
      <c r="G1221">
        <v>10000</v>
      </c>
      <c r="H1221" t="s">
        <v>147</v>
      </c>
      <c r="I1221" t="s">
        <v>162</v>
      </c>
    </row>
    <row r="1222" spans="1:9">
      <c r="A1222" s="50">
        <v>45700</v>
      </c>
      <c r="B1222" s="51">
        <v>0.4591782407407408</v>
      </c>
      <c r="C1222" t="s">
        <v>145</v>
      </c>
      <c r="D1222" t="s">
        <v>42</v>
      </c>
      <c r="E1222" t="s">
        <v>47</v>
      </c>
      <c r="F1222" t="s">
        <v>318</v>
      </c>
      <c r="G1222">
        <v>-31500</v>
      </c>
      <c r="H1222" t="s">
        <v>147</v>
      </c>
      <c r="I1222" t="s">
        <v>148</v>
      </c>
    </row>
    <row r="1223" spans="1:9">
      <c r="A1223" s="50">
        <v>45700</v>
      </c>
      <c r="B1223" s="51">
        <v>0.386724537037037</v>
      </c>
      <c r="C1223" t="s">
        <v>151</v>
      </c>
      <c r="D1223" t="s">
        <v>151</v>
      </c>
      <c r="E1223" t="s">
        <v>47</v>
      </c>
      <c r="F1223" t="s">
        <v>163</v>
      </c>
      <c r="G1223">
        <v>-100000</v>
      </c>
      <c r="H1223" t="s">
        <v>147</v>
      </c>
      <c r="I1223" t="s">
        <v>57</v>
      </c>
    </row>
    <row r="1224" spans="1:9">
      <c r="A1224" s="50">
        <v>45700</v>
      </c>
      <c r="B1224" s="51">
        <v>0.3835069444444444</v>
      </c>
      <c r="C1224" t="s">
        <v>151</v>
      </c>
      <c r="D1224" t="s">
        <v>160</v>
      </c>
      <c r="E1224" t="s">
        <v>47</v>
      </c>
      <c r="F1224" t="s">
        <v>7</v>
      </c>
      <c r="G1224">
        <v>1000000</v>
      </c>
      <c r="H1224" t="s">
        <v>147</v>
      </c>
      <c r="I1224" t="s">
        <v>61</v>
      </c>
    </row>
    <row r="1225" spans="1:9">
      <c r="A1225" s="50">
        <v>45700</v>
      </c>
      <c r="B1225" s="51">
        <v>0.3835069444444444</v>
      </c>
      <c r="C1225" t="s">
        <v>151</v>
      </c>
      <c r="D1225" t="s">
        <v>160</v>
      </c>
      <c r="E1225" t="s">
        <v>47</v>
      </c>
      <c r="F1225" t="s">
        <v>7</v>
      </c>
      <c r="G1225">
        <v>-1000000</v>
      </c>
      <c r="H1225" t="s">
        <v>147</v>
      </c>
      <c r="I1225" t="s">
        <v>57</v>
      </c>
    </row>
    <row r="1226" spans="1:9">
      <c r="A1226" s="50">
        <v>45700</v>
      </c>
      <c r="B1226" s="51">
        <v>0.3763888888888889</v>
      </c>
      <c r="C1226" t="s">
        <v>145</v>
      </c>
      <c r="D1226" t="s">
        <v>42</v>
      </c>
      <c r="E1226" t="s">
        <v>47</v>
      </c>
      <c r="F1226" t="s">
        <v>229</v>
      </c>
      <c r="G1226">
        <v>-100000</v>
      </c>
      <c r="H1226" t="s">
        <v>147</v>
      </c>
      <c r="I1226" t="s">
        <v>57</v>
      </c>
    </row>
    <row r="1227" spans="1:9">
      <c r="A1227" s="50">
        <v>45700</v>
      </c>
      <c r="B1227" s="51">
        <v>0.3648842592592593</v>
      </c>
      <c r="C1227" t="s">
        <v>151</v>
      </c>
      <c r="D1227" t="s">
        <v>198</v>
      </c>
      <c r="E1227" t="s">
        <v>47</v>
      </c>
      <c r="F1227" t="s">
        <v>213</v>
      </c>
      <c r="G1227">
        <v>1893930</v>
      </c>
      <c r="H1227" t="s">
        <v>147</v>
      </c>
      <c r="I1227" t="s">
        <v>57</v>
      </c>
    </row>
    <row r="1228" spans="1:9">
      <c r="A1228" s="50">
        <v>45700</v>
      </c>
      <c r="B1228" s="51">
        <v>0.2940972222222222</v>
      </c>
      <c r="C1228" t="s">
        <v>145</v>
      </c>
      <c r="D1228" t="s">
        <v>34</v>
      </c>
      <c r="E1228" t="s">
        <v>47</v>
      </c>
      <c r="F1228" t="s">
        <v>146</v>
      </c>
      <c r="G1228">
        <v>-1700</v>
      </c>
      <c r="H1228" t="s">
        <v>147</v>
      </c>
      <c r="I1228" t="s">
        <v>148</v>
      </c>
    </row>
    <row r="1229" spans="1:9">
      <c r="A1229" s="50">
        <v>45699</v>
      </c>
      <c r="B1229" s="51">
        <v>0.8877083333333333</v>
      </c>
      <c r="C1229" t="s">
        <v>145</v>
      </c>
      <c r="D1229" t="s">
        <v>38</v>
      </c>
      <c r="E1229" t="s">
        <v>47</v>
      </c>
      <c r="F1229" t="s">
        <v>516</v>
      </c>
      <c r="G1229">
        <v>-2600</v>
      </c>
      <c r="H1229" t="s">
        <v>147</v>
      </c>
      <c r="I1229" t="s">
        <v>148</v>
      </c>
    </row>
    <row r="1230" spans="1:9">
      <c r="A1230" s="50">
        <v>45699</v>
      </c>
      <c r="B1230" s="51">
        <v>0.7700462962962963</v>
      </c>
      <c r="C1230" t="s">
        <v>145</v>
      </c>
      <c r="D1230" t="s">
        <v>35</v>
      </c>
      <c r="E1230" t="s">
        <v>204</v>
      </c>
      <c r="F1230" t="s">
        <v>517</v>
      </c>
      <c r="G1230">
        <v>-40470</v>
      </c>
      <c r="H1230" t="s">
        <v>147</v>
      </c>
      <c r="I1230" t="s">
        <v>57</v>
      </c>
    </row>
    <row r="1231" spans="1:9">
      <c r="A1231" s="50">
        <v>45699</v>
      </c>
      <c r="B1231" s="51">
        <v>0.7416319444444445</v>
      </c>
      <c r="C1231" t="s">
        <v>145</v>
      </c>
      <c r="D1231" t="s">
        <v>34</v>
      </c>
      <c r="E1231" t="s">
        <v>47</v>
      </c>
      <c r="F1231" t="s">
        <v>146</v>
      </c>
      <c r="G1231">
        <v>-1700</v>
      </c>
      <c r="H1231" t="s">
        <v>147</v>
      </c>
      <c r="I1231" t="s">
        <v>148</v>
      </c>
    </row>
    <row r="1232" spans="1:9">
      <c r="A1232" s="50">
        <v>45699</v>
      </c>
      <c r="B1232" s="51">
        <v>0.4060763888888889</v>
      </c>
      <c r="C1232" t="s">
        <v>145</v>
      </c>
      <c r="D1232" t="s">
        <v>35</v>
      </c>
      <c r="E1232" t="s">
        <v>204</v>
      </c>
      <c r="F1232" t="s">
        <v>518</v>
      </c>
      <c r="G1232">
        <v>-80940</v>
      </c>
      <c r="H1232" t="s">
        <v>147</v>
      </c>
      <c r="I1232" t="s">
        <v>57</v>
      </c>
    </row>
    <row r="1233" spans="1:9">
      <c r="A1233" s="50">
        <v>45699</v>
      </c>
      <c r="B1233" s="51">
        <v>0.4040046296296296</v>
      </c>
      <c r="C1233" t="s">
        <v>145</v>
      </c>
      <c r="D1233" t="s">
        <v>42</v>
      </c>
      <c r="E1233" t="s">
        <v>47</v>
      </c>
      <c r="F1233" t="s">
        <v>153</v>
      </c>
      <c r="G1233">
        <v>-38900</v>
      </c>
      <c r="H1233" t="s">
        <v>147</v>
      </c>
      <c r="I1233" t="s">
        <v>154</v>
      </c>
    </row>
    <row r="1234" spans="1:9">
      <c r="A1234" s="50">
        <v>45698</v>
      </c>
      <c r="B1234" s="51">
        <v>0.8166087962962963</v>
      </c>
      <c r="C1234" t="s">
        <v>151</v>
      </c>
      <c r="D1234" t="s">
        <v>151</v>
      </c>
      <c r="E1234" t="s">
        <v>47</v>
      </c>
      <c r="F1234" t="s">
        <v>163</v>
      </c>
      <c r="G1234">
        <v>-50000</v>
      </c>
      <c r="H1234" t="s">
        <v>147</v>
      </c>
      <c r="I1234" t="s">
        <v>57</v>
      </c>
    </row>
    <row r="1235" spans="1:9">
      <c r="A1235" s="50">
        <v>45698</v>
      </c>
      <c r="B1235" s="51">
        <v>0.8098611111111111</v>
      </c>
      <c r="C1235" t="s">
        <v>145</v>
      </c>
      <c r="D1235" t="s">
        <v>35</v>
      </c>
      <c r="E1235" t="s">
        <v>204</v>
      </c>
      <c r="F1235" t="s">
        <v>519</v>
      </c>
      <c r="G1235">
        <v>-32200</v>
      </c>
      <c r="H1235" t="s">
        <v>147</v>
      </c>
      <c r="I1235" t="s">
        <v>57</v>
      </c>
    </row>
    <row r="1236" spans="1:9">
      <c r="A1236" s="50">
        <v>45698</v>
      </c>
      <c r="B1236" s="51">
        <v>0.7898148148148149</v>
      </c>
      <c r="C1236" t="s">
        <v>145</v>
      </c>
      <c r="D1236" t="s">
        <v>38</v>
      </c>
      <c r="E1236" t="s">
        <v>47</v>
      </c>
      <c r="F1236" t="s">
        <v>201</v>
      </c>
      <c r="G1236">
        <v>-8500</v>
      </c>
      <c r="H1236" t="s">
        <v>147</v>
      </c>
      <c r="I1236" t="s">
        <v>148</v>
      </c>
    </row>
    <row r="1237" spans="1:9">
      <c r="A1237" s="50">
        <v>45698</v>
      </c>
      <c r="B1237" s="51">
        <v>0.7811574074074074</v>
      </c>
      <c r="C1237" t="s">
        <v>145</v>
      </c>
      <c r="D1237" t="s">
        <v>41</v>
      </c>
      <c r="E1237" t="s">
        <v>47</v>
      </c>
      <c r="F1237" t="s">
        <v>157</v>
      </c>
      <c r="G1237">
        <v>-12175</v>
      </c>
      <c r="H1237" t="s">
        <v>147</v>
      </c>
      <c r="I1237" t="s">
        <v>57</v>
      </c>
    </row>
    <row r="1238" spans="1:9">
      <c r="A1238" s="50">
        <v>45698</v>
      </c>
      <c r="B1238" s="51">
        <v>0.4465393518518518</v>
      </c>
      <c r="C1238" t="s">
        <v>151</v>
      </c>
      <c r="D1238" t="s">
        <v>198</v>
      </c>
      <c r="E1238" t="s">
        <v>47</v>
      </c>
      <c r="F1238" t="s">
        <v>214</v>
      </c>
      <c r="G1238">
        <v>-100000</v>
      </c>
      <c r="H1238" t="s">
        <v>147</v>
      </c>
      <c r="I1238" t="s">
        <v>57</v>
      </c>
    </row>
    <row r="1239" spans="1:9">
      <c r="A1239" s="50">
        <v>45698</v>
      </c>
      <c r="B1239" s="51">
        <v>0.4260185185185185</v>
      </c>
      <c r="C1239" t="s">
        <v>151</v>
      </c>
      <c r="D1239" t="s">
        <v>160</v>
      </c>
      <c r="E1239" t="s">
        <v>47</v>
      </c>
      <c r="F1239" t="s">
        <v>7</v>
      </c>
      <c r="G1239">
        <v>-500000</v>
      </c>
      <c r="H1239" t="s">
        <v>147</v>
      </c>
      <c r="I1239" t="s">
        <v>61</v>
      </c>
    </row>
    <row r="1240" spans="1:9">
      <c r="A1240" s="50">
        <v>45698</v>
      </c>
      <c r="B1240" s="51">
        <v>0.4260185185185185</v>
      </c>
      <c r="C1240" t="s">
        <v>151</v>
      </c>
      <c r="D1240" t="s">
        <v>160</v>
      </c>
      <c r="E1240" t="s">
        <v>47</v>
      </c>
      <c r="F1240" t="s">
        <v>7</v>
      </c>
      <c r="G1240">
        <v>500000</v>
      </c>
      <c r="H1240" t="s">
        <v>147</v>
      </c>
      <c r="I1240" t="s">
        <v>57</v>
      </c>
    </row>
    <row r="1241" spans="1:9">
      <c r="A1241" s="50">
        <v>45698</v>
      </c>
      <c r="B1241" s="51">
        <v>0.4260185185185185</v>
      </c>
      <c r="C1241" t="s">
        <v>151</v>
      </c>
      <c r="D1241" t="s">
        <v>160</v>
      </c>
      <c r="E1241" t="s">
        <v>47</v>
      </c>
      <c r="F1241" t="s">
        <v>233</v>
      </c>
      <c r="G1241">
        <v>-47485</v>
      </c>
      <c r="H1241" t="s">
        <v>147</v>
      </c>
      <c r="I1241" t="s">
        <v>57</v>
      </c>
    </row>
    <row r="1242" spans="1:9">
      <c r="A1242" s="50">
        <v>45698</v>
      </c>
      <c r="B1242" s="51">
        <v>0.1305787037037037</v>
      </c>
      <c r="C1242" t="s">
        <v>145</v>
      </c>
      <c r="D1242" t="s">
        <v>35</v>
      </c>
      <c r="E1242" t="s">
        <v>207</v>
      </c>
      <c r="F1242" t="s">
        <v>234</v>
      </c>
      <c r="G1242">
        <v>-110812</v>
      </c>
      <c r="H1242" t="s">
        <v>147</v>
      </c>
      <c r="I1242" t="s">
        <v>57</v>
      </c>
    </row>
    <row r="1243" spans="1:9">
      <c r="A1243" s="50">
        <v>45698</v>
      </c>
      <c r="B1243" s="51">
        <v>0.1280671296296296</v>
      </c>
      <c r="C1243" t="s">
        <v>151</v>
      </c>
      <c r="D1243" t="s">
        <v>151</v>
      </c>
      <c r="E1243" t="s">
        <v>47</v>
      </c>
      <c r="F1243" t="s">
        <v>234</v>
      </c>
      <c r="G1243">
        <v>-270051</v>
      </c>
      <c r="H1243" t="s">
        <v>147</v>
      </c>
      <c r="I1243" t="s">
        <v>61</v>
      </c>
    </row>
    <row r="1244" spans="1:9">
      <c r="A1244" s="50">
        <v>45698</v>
      </c>
      <c r="B1244" s="51">
        <v>0</v>
      </c>
      <c r="C1244" t="s">
        <v>145</v>
      </c>
      <c r="D1244" t="s">
        <v>47</v>
      </c>
      <c r="E1244" t="s">
        <v>47</v>
      </c>
      <c r="F1244" t="s">
        <v>255</v>
      </c>
      <c r="G1244">
        <v>-1000</v>
      </c>
      <c r="H1244" t="s">
        <v>147</v>
      </c>
      <c r="I1244" t="s">
        <v>148</v>
      </c>
    </row>
    <row r="1245" spans="1:9">
      <c r="A1245" s="50">
        <v>45697</v>
      </c>
      <c r="B1245" s="51">
        <v>0.9078935185185185</v>
      </c>
      <c r="C1245" t="s">
        <v>145</v>
      </c>
      <c r="D1245" t="s">
        <v>42</v>
      </c>
      <c r="E1245" t="s">
        <v>47</v>
      </c>
      <c r="F1245" t="s">
        <v>158</v>
      </c>
      <c r="G1245">
        <v>-90000</v>
      </c>
      <c r="H1245" t="s">
        <v>147</v>
      </c>
      <c r="I1245" t="s">
        <v>57</v>
      </c>
    </row>
    <row r="1246" spans="1:9">
      <c r="A1246" s="50">
        <v>45697</v>
      </c>
      <c r="B1246" s="51">
        <v>0.571400462962963</v>
      </c>
      <c r="C1246" t="s">
        <v>145</v>
      </c>
      <c r="D1246" t="s">
        <v>34</v>
      </c>
      <c r="E1246" t="s">
        <v>47</v>
      </c>
      <c r="F1246" t="s">
        <v>244</v>
      </c>
      <c r="G1246">
        <v>-1500</v>
      </c>
      <c r="H1246" t="s">
        <v>147</v>
      </c>
      <c r="I1246" t="s">
        <v>148</v>
      </c>
    </row>
    <row r="1247" spans="1:9">
      <c r="A1247" s="50">
        <v>45697</v>
      </c>
      <c r="B1247" s="51">
        <v>0.4548148148148148</v>
      </c>
      <c r="C1247" t="s">
        <v>145</v>
      </c>
      <c r="D1247" t="s">
        <v>34</v>
      </c>
      <c r="E1247" t="s">
        <v>47</v>
      </c>
      <c r="F1247" t="s">
        <v>146</v>
      </c>
      <c r="G1247">
        <v>-1600</v>
      </c>
      <c r="H1247" t="s">
        <v>147</v>
      </c>
      <c r="I1247" t="s">
        <v>148</v>
      </c>
    </row>
    <row r="1248" spans="1:9">
      <c r="A1248" s="50">
        <v>45696</v>
      </c>
      <c r="B1248" s="51">
        <v>0.8417476851851852</v>
      </c>
      <c r="C1248" t="s">
        <v>145</v>
      </c>
      <c r="D1248" t="s">
        <v>34</v>
      </c>
      <c r="E1248" t="s">
        <v>47</v>
      </c>
      <c r="F1248" t="s">
        <v>146</v>
      </c>
      <c r="G1248">
        <v>-1700</v>
      </c>
      <c r="H1248" t="s">
        <v>147</v>
      </c>
      <c r="I1248" t="s">
        <v>148</v>
      </c>
    </row>
    <row r="1249" spans="1:9">
      <c r="A1249" s="50">
        <v>45696</v>
      </c>
      <c r="B1249" s="51">
        <v>0.8102777777777778</v>
      </c>
      <c r="C1249" t="s">
        <v>151</v>
      </c>
      <c r="D1249" t="s">
        <v>160</v>
      </c>
      <c r="E1249" t="s">
        <v>47</v>
      </c>
      <c r="F1249" t="s">
        <v>7</v>
      </c>
      <c r="G1249">
        <v>-290000</v>
      </c>
      <c r="H1249" t="s">
        <v>147</v>
      </c>
      <c r="I1249" t="s">
        <v>57</v>
      </c>
    </row>
    <row r="1250" spans="1:9">
      <c r="A1250" s="50">
        <v>45696</v>
      </c>
      <c r="B1250" s="51">
        <v>0.7937152777777777</v>
      </c>
      <c r="C1250" t="s">
        <v>145</v>
      </c>
      <c r="D1250" t="s">
        <v>42</v>
      </c>
      <c r="E1250" t="s">
        <v>47</v>
      </c>
      <c r="F1250" t="s">
        <v>253</v>
      </c>
      <c r="G1250">
        <v>-30500</v>
      </c>
      <c r="H1250" t="s">
        <v>147</v>
      </c>
      <c r="I1250" t="s">
        <v>148</v>
      </c>
    </row>
    <row r="1251" spans="1:9">
      <c r="A1251" s="50">
        <v>45696</v>
      </c>
      <c r="B1251" s="51">
        <v>0.7751273148148148</v>
      </c>
      <c r="C1251" t="s">
        <v>145</v>
      </c>
      <c r="D1251" t="s">
        <v>43</v>
      </c>
      <c r="E1251" t="s">
        <v>47</v>
      </c>
      <c r="F1251" t="s">
        <v>520</v>
      </c>
      <c r="G1251">
        <v>-209100</v>
      </c>
      <c r="H1251" t="s">
        <v>147</v>
      </c>
      <c r="I1251" t="s">
        <v>154</v>
      </c>
    </row>
    <row r="1252" spans="1:9">
      <c r="A1252" s="50">
        <v>45696</v>
      </c>
      <c r="B1252" s="51">
        <v>0.6386458333333334</v>
      </c>
      <c r="C1252" t="s">
        <v>151</v>
      </c>
      <c r="D1252" t="s">
        <v>160</v>
      </c>
      <c r="E1252" t="s">
        <v>47</v>
      </c>
      <c r="F1252" t="s">
        <v>7</v>
      </c>
      <c r="G1252">
        <v>6000000</v>
      </c>
      <c r="H1252" t="s">
        <v>147</v>
      </c>
      <c r="I1252" t="s">
        <v>61</v>
      </c>
    </row>
    <row r="1253" spans="1:9">
      <c r="A1253" s="50">
        <v>45696</v>
      </c>
      <c r="B1253" s="51">
        <v>0.6386458333333334</v>
      </c>
      <c r="C1253" t="s">
        <v>151</v>
      </c>
      <c r="D1253" t="s">
        <v>160</v>
      </c>
      <c r="E1253" t="s">
        <v>47</v>
      </c>
      <c r="F1253" t="s">
        <v>7</v>
      </c>
      <c r="G1253">
        <v>-6000000</v>
      </c>
      <c r="H1253" t="s">
        <v>147</v>
      </c>
      <c r="I1253" t="s">
        <v>57</v>
      </c>
    </row>
    <row r="1254" spans="1:9">
      <c r="A1254" s="50">
        <v>45696</v>
      </c>
      <c r="B1254" s="51">
        <v>0.6381481481481481</v>
      </c>
      <c r="C1254" t="s">
        <v>151</v>
      </c>
      <c r="D1254" t="s">
        <v>151</v>
      </c>
      <c r="E1254" t="s">
        <v>47</v>
      </c>
      <c r="F1254" t="s">
        <v>392</v>
      </c>
      <c r="G1254">
        <v>-1000000</v>
      </c>
      <c r="H1254" t="s">
        <v>147</v>
      </c>
      <c r="I1254" t="s">
        <v>57</v>
      </c>
    </row>
    <row r="1255" spans="1:9">
      <c r="A1255" s="50">
        <v>45696</v>
      </c>
      <c r="B1255" s="51">
        <v>0.6371064814814815</v>
      </c>
      <c r="C1255" t="s">
        <v>151</v>
      </c>
      <c r="D1255" t="s">
        <v>151</v>
      </c>
      <c r="E1255" t="s">
        <v>47</v>
      </c>
      <c r="F1255" t="s">
        <v>521</v>
      </c>
      <c r="G1255">
        <v>150000</v>
      </c>
      <c r="H1255" t="s">
        <v>147</v>
      </c>
      <c r="I1255" t="s">
        <v>57</v>
      </c>
    </row>
    <row r="1256" spans="1:9">
      <c r="A1256" s="50">
        <v>45696</v>
      </c>
      <c r="B1256" s="51">
        <v>0.6358796296296296</v>
      </c>
      <c r="C1256" t="s">
        <v>151</v>
      </c>
      <c r="D1256" t="s">
        <v>151</v>
      </c>
      <c r="E1256" t="s">
        <v>47</v>
      </c>
      <c r="F1256" t="s">
        <v>521</v>
      </c>
      <c r="G1256">
        <v>7500000</v>
      </c>
      <c r="H1256" t="s">
        <v>147</v>
      </c>
      <c r="I1256" t="s">
        <v>57</v>
      </c>
    </row>
    <row r="1257" spans="1:9">
      <c r="A1257" s="50">
        <v>45696</v>
      </c>
      <c r="B1257" s="51">
        <v>0.5858449074074074</v>
      </c>
      <c r="C1257" t="s">
        <v>145</v>
      </c>
      <c r="D1257" t="s">
        <v>45</v>
      </c>
      <c r="E1257" t="s">
        <v>47</v>
      </c>
      <c r="F1257" t="s">
        <v>449</v>
      </c>
      <c r="G1257">
        <v>-10000</v>
      </c>
      <c r="H1257" t="s">
        <v>147</v>
      </c>
      <c r="I1257" t="s">
        <v>148</v>
      </c>
    </row>
    <row r="1258" spans="1:9">
      <c r="A1258" s="50">
        <v>45696</v>
      </c>
      <c r="B1258" s="51">
        <v>0.4764930555555555</v>
      </c>
      <c r="C1258" t="s">
        <v>151</v>
      </c>
      <c r="D1258" t="s">
        <v>160</v>
      </c>
      <c r="E1258" t="s">
        <v>47</v>
      </c>
      <c r="F1258" t="s">
        <v>7</v>
      </c>
      <c r="G1258">
        <v>90412</v>
      </c>
      <c r="H1258" t="s">
        <v>147</v>
      </c>
      <c r="I1258" t="s">
        <v>57</v>
      </c>
    </row>
    <row r="1259" spans="1:9">
      <c r="A1259" s="50">
        <v>45696</v>
      </c>
      <c r="B1259" s="51">
        <v>0.3714467592592592</v>
      </c>
      <c r="C1259" t="s">
        <v>151</v>
      </c>
      <c r="D1259" t="s">
        <v>151</v>
      </c>
      <c r="E1259" t="s">
        <v>47</v>
      </c>
      <c r="F1259" t="s">
        <v>522</v>
      </c>
      <c r="G1259">
        <v>-100000</v>
      </c>
      <c r="H1259" t="s">
        <v>147</v>
      </c>
      <c r="I1259" t="s">
        <v>57</v>
      </c>
    </row>
    <row r="1260" spans="1:9">
      <c r="A1260" s="50">
        <v>45696</v>
      </c>
      <c r="B1260" s="51">
        <v>0.3705324074074074</v>
      </c>
      <c r="C1260" t="s">
        <v>151</v>
      </c>
      <c r="D1260" t="s">
        <v>160</v>
      </c>
      <c r="E1260" t="s">
        <v>47</v>
      </c>
      <c r="F1260" t="s">
        <v>7</v>
      </c>
      <c r="G1260">
        <v>100000</v>
      </c>
      <c r="H1260" t="s">
        <v>147</v>
      </c>
      <c r="I1260" t="s">
        <v>57</v>
      </c>
    </row>
    <row r="1261" spans="1:9">
      <c r="A1261" s="50">
        <v>45696</v>
      </c>
      <c r="B1261" s="51">
        <v>0.2962962962962963</v>
      </c>
      <c r="C1261" t="s">
        <v>145</v>
      </c>
      <c r="D1261" t="s">
        <v>34</v>
      </c>
      <c r="E1261" t="s">
        <v>47</v>
      </c>
      <c r="F1261" t="s">
        <v>146</v>
      </c>
      <c r="G1261">
        <v>-1700</v>
      </c>
      <c r="H1261" t="s">
        <v>147</v>
      </c>
      <c r="I1261" t="s">
        <v>148</v>
      </c>
    </row>
    <row r="1262" spans="1:9">
      <c r="A1262" s="50">
        <v>45695</v>
      </c>
      <c r="B1262" s="51">
        <v>0.7613078703703704</v>
      </c>
      <c r="C1262" t="s">
        <v>145</v>
      </c>
      <c r="D1262" t="s">
        <v>41</v>
      </c>
      <c r="E1262" t="s">
        <v>47</v>
      </c>
      <c r="F1262" t="s">
        <v>157</v>
      </c>
      <c r="G1262">
        <v>-57331</v>
      </c>
      <c r="H1262" t="s">
        <v>147</v>
      </c>
      <c r="I1262" t="s">
        <v>57</v>
      </c>
    </row>
    <row r="1263" spans="1:9">
      <c r="A1263" s="50">
        <v>45695</v>
      </c>
      <c r="B1263" s="51">
        <v>0.2941898148148148</v>
      </c>
      <c r="C1263" t="s">
        <v>145</v>
      </c>
      <c r="D1263" t="s">
        <v>34</v>
      </c>
      <c r="E1263" t="s">
        <v>47</v>
      </c>
      <c r="F1263" t="s">
        <v>146</v>
      </c>
      <c r="G1263">
        <v>-1700</v>
      </c>
      <c r="H1263" t="s">
        <v>147</v>
      </c>
      <c r="I1263" t="s">
        <v>148</v>
      </c>
    </row>
    <row r="1264" spans="1:9">
      <c r="A1264" s="50">
        <v>45694</v>
      </c>
      <c r="B1264" s="51">
        <v>0.7410763888888889</v>
      </c>
      <c r="C1264" t="s">
        <v>145</v>
      </c>
      <c r="D1264" t="s">
        <v>34</v>
      </c>
      <c r="E1264" t="s">
        <v>47</v>
      </c>
      <c r="F1264" t="s">
        <v>146</v>
      </c>
      <c r="G1264">
        <v>-1400</v>
      </c>
      <c r="H1264" t="s">
        <v>147</v>
      </c>
      <c r="I1264" t="s">
        <v>148</v>
      </c>
    </row>
    <row r="1265" spans="1:9">
      <c r="A1265" s="50">
        <v>45694</v>
      </c>
      <c r="B1265" s="51">
        <v>0.5762037037037037</v>
      </c>
      <c r="C1265" t="s">
        <v>145</v>
      </c>
      <c r="D1265" t="s">
        <v>33</v>
      </c>
      <c r="E1265" t="s">
        <v>47</v>
      </c>
      <c r="F1265" t="s">
        <v>523</v>
      </c>
      <c r="G1265">
        <v>-1500</v>
      </c>
      <c r="H1265" t="s">
        <v>147</v>
      </c>
      <c r="I1265" t="s">
        <v>165</v>
      </c>
    </row>
    <row r="1266" spans="1:9">
      <c r="A1266" s="50">
        <v>45694</v>
      </c>
      <c r="B1266" s="51">
        <v>0.2864351851851852</v>
      </c>
      <c r="C1266" t="s">
        <v>145</v>
      </c>
      <c r="D1266" t="s">
        <v>34</v>
      </c>
      <c r="E1266" t="s">
        <v>47</v>
      </c>
      <c r="F1266" t="s">
        <v>146</v>
      </c>
      <c r="G1266">
        <v>-1700</v>
      </c>
      <c r="H1266" t="s">
        <v>147</v>
      </c>
      <c r="I1266" t="s">
        <v>148</v>
      </c>
    </row>
    <row r="1267" spans="1:9">
      <c r="A1267" s="50">
        <v>45693</v>
      </c>
      <c r="B1267" s="51">
        <v>0.8165509259259259</v>
      </c>
      <c r="C1267" t="s">
        <v>151</v>
      </c>
      <c r="D1267" t="s">
        <v>151</v>
      </c>
      <c r="E1267" t="s">
        <v>47</v>
      </c>
      <c r="F1267" t="s">
        <v>392</v>
      </c>
      <c r="G1267">
        <v>-3000000</v>
      </c>
      <c r="H1267" t="s">
        <v>147</v>
      </c>
      <c r="I1267" t="s">
        <v>61</v>
      </c>
    </row>
    <row r="1268" spans="1:9">
      <c r="A1268" s="50">
        <v>45693</v>
      </c>
      <c r="B1268" s="51">
        <v>0.8161574074074074</v>
      </c>
      <c r="C1268" t="s">
        <v>151</v>
      </c>
      <c r="D1268" t="s">
        <v>151</v>
      </c>
      <c r="E1268" t="s">
        <v>47</v>
      </c>
      <c r="F1268" t="s">
        <v>392</v>
      </c>
      <c r="G1268">
        <v>-3500000</v>
      </c>
      <c r="H1268" t="s">
        <v>147</v>
      </c>
      <c r="I1268" t="s">
        <v>57</v>
      </c>
    </row>
    <row r="1269" spans="1:9">
      <c r="A1269" s="50">
        <v>45693</v>
      </c>
      <c r="B1269" s="51">
        <v>0.8155092592592592</v>
      </c>
      <c r="C1269" t="s">
        <v>151</v>
      </c>
      <c r="D1269" t="s">
        <v>160</v>
      </c>
      <c r="E1269" t="s">
        <v>47</v>
      </c>
      <c r="F1269" t="s">
        <v>7</v>
      </c>
      <c r="G1269">
        <v>3543662</v>
      </c>
      <c r="H1269" t="s">
        <v>147</v>
      </c>
      <c r="I1269" t="s">
        <v>57</v>
      </c>
    </row>
    <row r="1270" spans="1:9">
      <c r="A1270" s="50">
        <v>45693</v>
      </c>
      <c r="B1270" s="51">
        <v>0.7888310185185186</v>
      </c>
      <c r="C1270" t="s">
        <v>145</v>
      </c>
      <c r="D1270" t="s">
        <v>35</v>
      </c>
      <c r="E1270" t="s">
        <v>207</v>
      </c>
      <c r="F1270" t="s">
        <v>208</v>
      </c>
      <c r="G1270">
        <v>-4281</v>
      </c>
      <c r="H1270" t="s">
        <v>147</v>
      </c>
      <c r="I1270" t="s">
        <v>57</v>
      </c>
    </row>
    <row r="1271" spans="1:9">
      <c r="A1271" s="50">
        <v>45693</v>
      </c>
      <c r="B1271" s="51">
        <v>0.7752777777777777</v>
      </c>
      <c r="C1271" t="s">
        <v>145</v>
      </c>
      <c r="D1271" t="s">
        <v>35</v>
      </c>
      <c r="E1271" t="s">
        <v>204</v>
      </c>
      <c r="F1271" t="s">
        <v>524</v>
      </c>
      <c r="G1271">
        <v>-15200</v>
      </c>
      <c r="H1271" t="s">
        <v>147</v>
      </c>
      <c r="I1271" t="s">
        <v>57</v>
      </c>
    </row>
    <row r="1272" spans="1:9">
      <c r="A1272" s="50">
        <v>45693</v>
      </c>
      <c r="B1272" s="51">
        <v>0.7373263888888889</v>
      </c>
      <c r="C1272" t="s">
        <v>145</v>
      </c>
      <c r="D1272" t="s">
        <v>34</v>
      </c>
      <c r="E1272" t="s">
        <v>47</v>
      </c>
      <c r="F1272" t="s">
        <v>146</v>
      </c>
      <c r="G1272">
        <v>-1700</v>
      </c>
      <c r="H1272" t="s">
        <v>147</v>
      </c>
      <c r="I1272" t="s">
        <v>148</v>
      </c>
    </row>
    <row r="1273" spans="1:9">
      <c r="A1273" s="50">
        <v>45693</v>
      </c>
      <c r="B1273" s="51">
        <v>0.291087962962963</v>
      </c>
      <c r="C1273" t="s">
        <v>145</v>
      </c>
      <c r="D1273" t="s">
        <v>42</v>
      </c>
      <c r="E1273" t="s">
        <v>47</v>
      </c>
      <c r="F1273" t="s">
        <v>153</v>
      </c>
      <c r="G1273">
        <v>-31900</v>
      </c>
      <c r="H1273" t="s">
        <v>147</v>
      </c>
      <c r="I1273" t="s">
        <v>154</v>
      </c>
    </row>
    <row r="1274" spans="1:9">
      <c r="A1274" s="50">
        <v>45693</v>
      </c>
      <c r="B1274" s="51">
        <v>0.2906481481481482</v>
      </c>
      <c r="C1274" t="s">
        <v>151</v>
      </c>
      <c r="D1274" t="s">
        <v>160</v>
      </c>
      <c r="E1274" t="s">
        <v>47</v>
      </c>
      <c r="F1274" t="s">
        <v>7</v>
      </c>
      <c r="G1274">
        <v>-50000</v>
      </c>
      <c r="H1274" t="s">
        <v>147</v>
      </c>
      <c r="I1274" t="s">
        <v>61</v>
      </c>
    </row>
    <row r="1275" spans="1:9">
      <c r="A1275" s="50">
        <v>45693</v>
      </c>
      <c r="B1275" s="51">
        <v>0.2906481481481482</v>
      </c>
      <c r="C1275" t="s">
        <v>151</v>
      </c>
      <c r="D1275" t="s">
        <v>160</v>
      </c>
      <c r="E1275" t="s">
        <v>47</v>
      </c>
      <c r="F1275" t="s">
        <v>7</v>
      </c>
      <c r="G1275">
        <v>50000</v>
      </c>
      <c r="H1275" t="s">
        <v>147</v>
      </c>
      <c r="I1275" t="s">
        <v>57</v>
      </c>
    </row>
    <row r="1276" spans="1:9">
      <c r="A1276" s="50">
        <v>45693</v>
      </c>
      <c r="B1276" s="51">
        <v>0.2887037037037037</v>
      </c>
      <c r="C1276" t="s">
        <v>145</v>
      </c>
      <c r="D1276" t="s">
        <v>34</v>
      </c>
      <c r="E1276" t="s">
        <v>47</v>
      </c>
      <c r="F1276" t="s">
        <v>146</v>
      </c>
      <c r="G1276">
        <v>-1700</v>
      </c>
      <c r="H1276" t="s">
        <v>147</v>
      </c>
      <c r="I1276" t="s">
        <v>148</v>
      </c>
    </row>
    <row r="1277" spans="1:9">
      <c r="A1277" s="50">
        <v>45693</v>
      </c>
      <c r="B1277" s="51">
        <v>0.2393634259259259</v>
      </c>
      <c r="C1277" t="s">
        <v>145</v>
      </c>
      <c r="D1277" t="s">
        <v>34</v>
      </c>
      <c r="E1277" t="s">
        <v>47</v>
      </c>
      <c r="F1277" t="s">
        <v>525</v>
      </c>
      <c r="G1277">
        <v>-3000</v>
      </c>
      <c r="H1277" t="s">
        <v>147</v>
      </c>
      <c r="I1277" t="s">
        <v>165</v>
      </c>
    </row>
    <row r="1278" spans="1:9">
      <c r="A1278" s="50">
        <v>45693</v>
      </c>
      <c r="B1278" s="51">
        <v>0.2393634259259259</v>
      </c>
      <c r="C1278" t="s">
        <v>145</v>
      </c>
      <c r="D1278" t="s">
        <v>34</v>
      </c>
      <c r="E1278" t="s">
        <v>47</v>
      </c>
      <c r="F1278" t="s">
        <v>526</v>
      </c>
      <c r="G1278">
        <v>-1500</v>
      </c>
      <c r="H1278" t="s">
        <v>147</v>
      </c>
      <c r="I1278" t="s">
        <v>165</v>
      </c>
    </row>
    <row r="1279" spans="1:9">
      <c r="A1279" s="50">
        <v>45693</v>
      </c>
      <c r="B1279" s="51">
        <v>0.2393634259259259</v>
      </c>
      <c r="C1279" t="s">
        <v>145</v>
      </c>
      <c r="D1279" t="s">
        <v>34</v>
      </c>
      <c r="E1279" t="s">
        <v>47</v>
      </c>
      <c r="F1279" t="s">
        <v>527</v>
      </c>
      <c r="G1279">
        <v>-5300</v>
      </c>
      <c r="H1279" t="s">
        <v>147</v>
      </c>
      <c r="I1279" t="s">
        <v>165</v>
      </c>
    </row>
    <row r="1280" spans="1:9">
      <c r="A1280" s="50">
        <v>45692</v>
      </c>
      <c r="B1280" s="51">
        <v>0.7632060185185185</v>
      </c>
      <c r="C1280" t="s">
        <v>151</v>
      </c>
      <c r="D1280" t="s">
        <v>198</v>
      </c>
      <c r="E1280" t="s">
        <v>47</v>
      </c>
      <c r="F1280" t="s">
        <v>211</v>
      </c>
      <c r="G1280">
        <v>-50000</v>
      </c>
      <c r="H1280" t="s">
        <v>147</v>
      </c>
      <c r="I1280" t="s">
        <v>57</v>
      </c>
    </row>
    <row r="1281" spans="1:9">
      <c r="A1281" s="50">
        <v>45692</v>
      </c>
      <c r="B1281" s="51">
        <v>0.6485763888888889</v>
      </c>
      <c r="C1281" t="s">
        <v>151</v>
      </c>
      <c r="D1281" t="s">
        <v>160</v>
      </c>
      <c r="E1281" t="s">
        <v>47</v>
      </c>
      <c r="F1281" t="s">
        <v>7</v>
      </c>
      <c r="G1281">
        <v>-50000</v>
      </c>
      <c r="H1281" t="s">
        <v>147</v>
      </c>
      <c r="I1281" t="s">
        <v>61</v>
      </c>
    </row>
    <row r="1282" spans="1:9">
      <c r="A1282" s="50">
        <v>45692</v>
      </c>
      <c r="B1282" s="51">
        <v>0.6485763888888889</v>
      </c>
      <c r="C1282" t="s">
        <v>151</v>
      </c>
      <c r="D1282" t="s">
        <v>160</v>
      </c>
      <c r="E1282" t="s">
        <v>47</v>
      </c>
      <c r="F1282" t="s">
        <v>7</v>
      </c>
      <c r="G1282">
        <v>50000</v>
      </c>
      <c r="H1282" t="s">
        <v>147</v>
      </c>
      <c r="I1282" t="s">
        <v>57</v>
      </c>
    </row>
    <row r="1283" spans="1:9">
      <c r="A1283" s="50">
        <v>45692</v>
      </c>
      <c r="B1283" s="51">
        <v>0.5502893518518519</v>
      </c>
      <c r="C1283" t="s">
        <v>145</v>
      </c>
      <c r="D1283" t="s">
        <v>34</v>
      </c>
      <c r="E1283" t="s">
        <v>47</v>
      </c>
      <c r="F1283" t="s">
        <v>146</v>
      </c>
      <c r="G1283">
        <v>-1700</v>
      </c>
      <c r="H1283" t="s">
        <v>147</v>
      </c>
      <c r="I1283" t="s">
        <v>148</v>
      </c>
    </row>
    <row r="1284" spans="1:9">
      <c r="A1284" s="50">
        <v>45692</v>
      </c>
      <c r="B1284" s="51">
        <v>0.2944444444444445</v>
      </c>
      <c r="C1284" t="s">
        <v>145</v>
      </c>
      <c r="D1284" t="s">
        <v>34</v>
      </c>
      <c r="E1284" t="s">
        <v>47</v>
      </c>
      <c r="F1284" t="s">
        <v>146</v>
      </c>
      <c r="G1284">
        <v>-1700</v>
      </c>
      <c r="H1284" t="s">
        <v>147</v>
      </c>
      <c r="I1284" t="s">
        <v>148</v>
      </c>
    </row>
    <row r="1285" spans="1:9">
      <c r="A1285" s="50">
        <v>45691</v>
      </c>
      <c r="B1285" s="51">
        <v>0.6527083333333333</v>
      </c>
      <c r="C1285" t="s">
        <v>145</v>
      </c>
      <c r="D1285" t="s">
        <v>42</v>
      </c>
      <c r="E1285" t="s">
        <v>47</v>
      </c>
      <c r="F1285" t="s">
        <v>253</v>
      </c>
      <c r="G1285">
        <v>-29000</v>
      </c>
      <c r="H1285" t="s">
        <v>147</v>
      </c>
      <c r="I1285" t="s">
        <v>148</v>
      </c>
    </row>
    <row r="1286" spans="1:9">
      <c r="A1286" s="50">
        <v>45691</v>
      </c>
      <c r="B1286" s="51">
        <v>0.6463541666666667</v>
      </c>
      <c r="C1286" t="s">
        <v>145</v>
      </c>
      <c r="D1286" t="s">
        <v>42</v>
      </c>
      <c r="E1286" t="s">
        <v>47</v>
      </c>
      <c r="F1286" t="s">
        <v>253</v>
      </c>
      <c r="G1286">
        <v>29300</v>
      </c>
      <c r="H1286" t="s">
        <v>147</v>
      </c>
      <c r="I1286" t="s">
        <v>148</v>
      </c>
    </row>
    <row r="1287" spans="1:9">
      <c r="A1287" s="50">
        <v>45691</v>
      </c>
      <c r="B1287" s="51">
        <v>0.6461111111111111</v>
      </c>
      <c r="C1287" t="s">
        <v>145</v>
      </c>
      <c r="D1287" t="s">
        <v>42</v>
      </c>
      <c r="E1287" t="s">
        <v>47</v>
      </c>
      <c r="F1287" t="s">
        <v>253</v>
      </c>
      <c r="G1287">
        <v>-29300</v>
      </c>
      <c r="H1287" t="s">
        <v>147</v>
      </c>
      <c r="I1287" t="s">
        <v>148</v>
      </c>
    </row>
    <row r="1288" spans="1:9">
      <c r="A1288" s="50">
        <v>45689</v>
      </c>
      <c r="B1288" s="51">
        <v>0.9752430555555556</v>
      </c>
      <c r="C1288" t="s">
        <v>145</v>
      </c>
      <c r="D1288" t="s">
        <v>42</v>
      </c>
      <c r="E1288" t="s">
        <v>47</v>
      </c>
      <c r="F1288" t="s">
        <v>219</v>
      </c>
      <c r="G1288">
        <v>-34460</v>
      </c>
      <c r="H1288" t="s">
        <v>147</v>
      </c>
      <c r="I1288" t="s">
        <v>148</v>
      </c>
    </row>
    <row r="1289" spans="1:9">
      <c r="A1289" s="50">
        <v>45689</v>
      </c>
      <c r="B1289" s="51">
        <v>0.9751157407407407</v>
      </c>
      <c r="C1289" t="s">
        <v>151</v>
      </c>
      <c r="D1289" t="s">
        <v>160</v>
      </c>
      <c r="E1289" t="s">
        <v>47</v>
      </c>
      <c r="F1289" t="s">
        <v>7</v>
      </c>
      <c r="G1289">
        <v>50000</v>
      </c>
      <c r="H1289" t="s">
        <v>147</v>
      </c>
      <c r="I1289" t="s">
        <v>57</v>
      </c>
    </row>
    <row r="1290" spans="1:9">
      <c r="A1290" s="50">
        <v>45689</v>
      </c>
      <c r="B1290" s="51">
        <v>0.8055439814814814</v>
      </c>
      <c r="C1290" t="s">
        <v>145</v>
      </c>
      <c r="D1290" t="s">
        <v>34</v>
      </c>
      <c r="E1290" t="s">
        <v>47</v>
      </c>
      <c r="F1290" t="s">
        <v>146</v>
      </c>
      <c r="G1290">
        <v>-1700</v>
      </c>
      <c r="H1290" t="s">
        <v>147</v>
      </c>
      <c r="I1290" t="s">
        <v>148</v>
      </c>
    </row>
    <row r="1291" spans="1:9">
      <c r="A1291" s="50">
        <v>45689</v>
      </c>
      <c r="B1291" s="51">
        <v>0.7496759259259259</v>
      </c>
      <c r="C1291" t="s">
        <v>145</v>
      </c>
      <c r="D1291" t="s">
        <v>42</v>
      </c>
      <c r="E1291" t="s">
        <v>47</v>
      </c>
      <c r="F1291" t="s">
        <v>219</v>
      </c>
      <c r="G1291">
        <v>-12960</v>
      </c>
      <c r="H1291" t="s">
        <v>147</v>
      </c>
      <c r="I1291" t="s">
        <v>148</v>
      </c>
    </row>
    <row r="1292" spans="1:9">
      <c r="A1292" s="50">
        <v>45689</v>
      </c>
      <c r="B1292" s="51">
        <v>0.6044791666666667</v>
      </c>
      <c r="C1292" t="s">
        <v>145</v>
      </c>
      <c r="D1292" t="s">
        <v>42</v>
      </c>
      <c r="E1292" t="s">
        <v>47</v>
      </c>
      <c r="F1292" t="s">
        <v>153</v>
      </c>
      <c r="G1292">
        <v>-26900</v>
      </c>
      <c r="H1292" t="s">
        <v>147</v>
      </c>
      <c r="I1292" t="s">
        <v>154</v>
      </c>
    </row>
    <row r="1293" spans="1:9">
      <c r="A1293" s="50">
        <v>45689</v>
      </c>
      <c r="B1293" s="51">
        <v>0.5889814814814814</v>
      </c>
      <c r="C1293" t="s">
        <v>145</v>
      </c>
      <c r="D1293" t="s">
        <v>42</v>
      </c>
      <c r="E1293" t="s">
        <v>47</v>
      </c>
      <c r="F1293" t="s">
        <v>153</v>
      </c>
      <c r="G1293">
        <v>-33000</v>
      </c>
      <c r="H1293" t="s">
        <v>147</v>
      </c>
      <c r="I1293" t="s">
        <v>154</v>
      </c>
    </row>
    <row r="1294" spans="1:9">
      <c r="A1294" s="50">
        <v>45689</v>
      </c>
      <c r="B1294" s="51">
        <v>0.5813078703703703</v>
      </c>
      <c r="C1294" t="s">
        <v>151</v>
      </c>
      <c r="D1294" t="s">
        <v>160</v>
      </c>
      <c r="E1294" t="s">
        <v>47</v>
      </c>
      <c r="F1294" t="s">
        <v>7</v>
      </c>
      <c r="G1294">
        <v>100000</v>
      </c>
      <c r="H1294" t="s">
        <v>147</v>
      </c>
      <c r="I1294" t="s">
        <v>57</v>
      </c>
    </row>
    <row r="1295" spans="1:9">
      <c r="A1295" s="50">
        <v>45689</v>
      </c>
      <c r="B1295" s="51">
        <v>0.5813078703703703</v>
      </c>
      <c r="C1295" t="s">
        <v>151</v>
      </c>
      <c r="D1295" t="s">
        <v>160</v>
      </c>
      <c r="E1295" t="s">
        <v>47</v>
      </c>
      <c r="F1295" t="s">
        <v>7</v>
      </c>
      <c r="G1295">
        <v>-100000</v>
      </c>
      <c r="H1295" t="s">
        <v>147</v>
      </c>
      <c r="I1295" t="s">
        <v>61</v>
      </c>
    </row>
    <row r="1296" spans="1:9">
      <c r="A1296" s="50">
        <v>45686</v>
      </c>
      <c r="B1296" s="51">
        <v>0.872199074074074</v>
      </c>
      <c r="C1296" t="s">
        <v>145</v>
      </c>
      <c r="D1296" t="s">
        <v>46</v>
      </c>
      <c r="E1296" t="s">
        <v>47</v>
      </c>
      <c r="F1296" t="s">
        <v>528</v>
      </c>
      <c r="G1296">
        <v>-218764</v>
      </c>
      <c r="H1296" t="s">
        <v>147</v>
      </c>
      <c r="I1296" t="s">
        <v>154</v>
      </c>
    </row>
    <row r="1297" spans="1:9">
      <c r="A1297" s="50">
        <v>45686</v>
      </c>
      <c r="B1297" s="51">
        <v>0.8538773148148148</v>
      </c>
      <c r="C1297" t="s">
        <v>151</v>
      </c>
      <c r="D1297" t="s">
        <v>160</v>
      </c>
      <c r="E1297" t="s">
        <v>47</v>
      </c>
      <c r="F1297" t="s">
        <v>7</v>
      </c>
      <c r="G1297">
        <v>-100000</v>
      </c>
      <c r="H1297" t="s">
        <v>147</v>
      </c>
      <c r="I1297" t="s">
        <v>61</v>
      </c>
    </row>
    <row r="1298" spans="1:9">
      <c r="A1298" s="50">
        <v>45686</v>
      </c>
      <c r="B1298" s="51">
        <v>0.8538773148148148</v>
      </c>
      <c r="C1298" t="s">
        <v>151</v>
      </c>
      <c r="D1298" t="s">
        <v>160</v>
      </c>
      <c r="E1298" t="s">
        <v>47</v>
      </c>
      <c r="F1298" t="s">
        <v>7</v>
      </c>
      <c r="G1298">
        <v>100000</v>
      </c>
      <c r="H1298" t="s">
        <v>147</v>
      </c>
      <c r="I1298" t="s">
        <v>57</v>
      </c>
    </row>
    <row r="1299" spans="1:9">
      <c r="A1299" s="50">
        <v>45686</v>
      </c>
      <c r="B1299" s="51">
        <v>0.7460185185185185</v>
      </c>
      <c r="C1299" t="s">
        <v>151</v>
      </c>
      <c r="D1299" t="s">
        <v>151</v>
      </c>
      <c r="E1299" t="s">
        <v>47</v>
      </c>
      <c r="F1299" t="s">
        <v>163</v>
      </c>
      <c r="G1299">
        <v>-50000</v>
      </c>
      <c r="H1299" t="s">
        <v>147</v>
      </c>
      <c r="I1299" t="s">
        <v>57</v>
      </c>
    </row>
    <row r="1300" spans="1:9">
      <c r="A1300" s="50">
        <v>45686</v>
      </c>
      <c r="B1300" s="51">
        <v>0.6183101851851852</v>
      </c>
      <c r="C1300" t="s">
        <v>151</v>
      </c>
      <c r="D1300" t="s">
        <v>160</v>
      </c>
      <c r="E1300" t="s">
        <v>47</v>
      </c>
      <c r="F1300" t="s">
        <v>7</v>
      </c>
      <c r="G1300">
        <v>130000</v>
      </c>
      <c r="H1300" t="s">
        <v>147</v>
      </c>
      <c r="I1300" t="s">
        <v>57</v>
      </c>
    </row>
    <row r="1301" spans="1:9">
      <c r="A1301" s="50">
        <v>45686</v>
      </c>
      <c r="B1301" s="51">
        <v>0.6183101851851852</v>
      </c>
      <c r="C1301" t="s">
        <v>151</v>
      </c>
      <c r="D1301" t="s">
        <v>160</v>
      </c>
      <c r="E1301" t="s">
        <v>47</v>
      </c>
      <c r="F1301" t="s">
        <v>7</v>
      </c>
      <c r="G1301">
        <v>-130000</v>
      </c>
      <c r="H1301" t="s">
        <v>147</v>
      </c>
      <c r="I1301" t="s">
        <v>61</v>
      </c>
    </row>
    <row r="1302" spans="1:9">
      <c r="A1302" s="50">
        <v>45686</v>
      </c>
      <c r="B1302" s="51">
        <v>0.4972916666666667</v>
      </c>
      <c r="C1302" t="s">
        <v>145</v>
      </c>
      <c r="D1302" t="s">
        <v>34</v>
      </c>
      <c r="E1302" t="s">
        <v>47</v>
      </c>
      <c r="F1302" t="s">
        <v>146</v>
      </c>
      <c r="G1302">
        <v>-1900</v>
      </c>
      <c r="H1302" t="s">
        <v>147</v>
      </c>
      <c r="I1302" t="s">
        <v>148</v>
      </c>
    </row>
    <row r="1303" spans="1:9">
      <c r="A1303" s="50">
        <v>45685</v>
      </c>
      <c r="B1303" s="51">
        <v>0.9239583333333333</v>
      </c>
      <c r="C1303" t="s">
        <v>151</v>
      </c>
      <c r="D1303" t="s">
        <v>151</v>
      </c>
      <c r="E1303" t="s">
        <v>47</v>
      </c>
      <c r="F1303" t="s">
        <v>163</v>
      </c>
      <c r="G1303">
        <v>-20000</v>
      </c>
      <c r="H1303" t="s">
        <v>147</v>
      </c>
      <c r="I1303" t="s">
        <v>57</v>
      </c>
    </row>
    <row r="1304" spans="1:9">
      <c r="A1304" s="50">
        <v>45685</v>
      </c>
      <c r="B1304" s="51">
        <v>0.7367476851851852</v>
      </c>
      <c r="C1304" t="s">
        <v>145</v>
      </c>
      <c r="D1304" t="s">
        <v>34</v>
      </c>
      <c r="E1304" t="s">
        <v>47</v>
      </c>
      <c r="F1304" t="s">
        <v>146</v>
      </c>
      <c r="G1304">
        <v>-1700</v>
      </c>
      <c r="H1304" t="s">
        <v>147</v>
      </c>
      <c r="I1304" t="s">
        <v>148</v>
      </c>
    </row>
    <row r="1305" spans="1:9">
      <c r="A1305" s="50">
        <v>45685</v>
      </c>
      <c r="B1305" s="51">
        <v>0.6610416666666666</v>
      </c>
      <c r="C1305" t="s">
        <v>151</v>
      </c>
      <c r="D1305" t="s">
        <v>47</v>
      </c>
      <c r="E1305" t="s">
        <v>47</v>
      </c>
      <c r="F1305" t="s">
        <v>513</v>
      </c>
      <c r="G1305">
        <v>-100000</v>
      </c>
      <c r="H1305" t="s">
        <v>147</v>
      </c>
      <c r="I1305" t="s">
        <v>57</v>
      </c>
    </row>
    <row r="1306" spans="1:9">
      <c r="A1306" s="50">
        <v>45685</v>
      </c>
      <c r="B1306" s="51">
        <v>0.6482175925925926</v>
      </c>
      <c r="C1306" t="s">
        <v>145</v>
      </c>
      <c r="D1306" t="s">
        <v>46</v>
      </c>
      <c r="E1306" t="s">
        <v>47</v>
      </c>
      <c r="F1306" t="s">
        <v>529</v>
      </c>
      <c r="G1306">
        <v>-8000</v>
      </c>
      <c r="H1306" t="s">
        <v>147</v>
      </c>
      <c r="I1306" t="s">
        <v>148</v>
      </c>
    </row>
    <row r="1307" spans="1:9">
      <c r="A1307" s="50">
        <v>45684</v>
      </c>
      <c r="B1307" s="51">
        <v>0.7876041666666667</v>
      </c>
      <c r="C1307" t="s">
        <v>145</v>
      </c>
      <c r="D1307" t="s">
        <v>38</v>
      </c>
      <c r="E1307" t="s">
        <v>47</v>
      </c>
      <c r="F1307" t="s">
        <v>155</v>
      </c>
      <c r="G1307">
        <v>-15160</v>
      </c>
      <c r="H1307" t="s">
        <v>147</v>
      </c>
      <c r="I1307" t="s">
        <v>148</v>
      </c>
    </row>
    <row r="1308" spans="1:9">
      <c r="A1308" s="50">
        <v>45684</v>
      </c>
      <c r="B1308" s="51">
        <v>0.6276041666666666</v>
      </c>
      <c r="C1308" t="s">
        <v>151</v>
      </c>
      <c r="D1308" t="s">
        <v>160</v>
      </c>
      <c r="E1308" t="s">
        <v>47</v>
      </c>
      <c r="F1308" t="s">
        <v>7</v>
      </c>
      <c r="G1308">
        <v>76666</v>
      </c>
      <c r="H1308" t="s">
        <v>147</v>
      </c>
      <c r="I1308" t="s">
        <v>57</v>
      </c>
    </row>
    <row r="1309" spans="1:9">
      <c r="A1309" s="50">
        <v>45684</v>
      </c>
      <c r="B1309" s="51">
        <v>0.6276041666666666</v>
      </c>
      <c r="C1309" t="s">
        <v>151</v>
      </c>
      <c r="D1309" t="s">
        <v>160</v>
      </c>
      <c r="E1309" t="s">
        <v>47</v>
      </c>
      <c r="F1309" t="s">
        <v>161</v>
      </c>
      <c r="G1309">
        <v>-76666</v>
      </c>
      <c r="H1309" t="s">
        <v>147</v>
      </c>
      <c r="I1309" t="s">
        <v>162</v>
      </c>
    </row>
    <row r="1310" spans="1:9">
      <c r="A1310" s="50">
        <v>45684</v>
      </c>
      <c r="B1310" s="51">
        <v>0.6271296296296296</v>
      </c>
      <c r="C1310" t="s">
        <v>151</v>
      </c>
      <c r="D1310" t="s">
        <v>151</v>
      </c>
      <c r="E1310" t="s">
        <v>47</v>
      </c>
      <c r="F1310" t="s">
        <v>530</v>
      </c>
      <c r="G1310">
        <v>76666</v>
      </c>
      <c r="H1310" t="s">
        <v>147</v>
      </c>
      <c r="I1310" t="s">
        <v>162</v>
      </c>
    </row>
    <row r="1311" spans="1:9">
      <c r="A1311" s="50">
        <v>45684</v>
      </c>
      <c r="B1311" s="51">
        <v>0.5654629629629629</v>
      </c>
      <c r="C1311" t="s">
        <v>151</v>
      </c>
      <c r="D1311" t="s">
        <v>160</v>
      </c>
      <c r="E1311" t="s">
        <v>47</v>
      </c>
      <c r="F1311" t="s">
        <v>7</v>
      </c>
      <c r="G1311">
        <v>-230000</v>
      </c>
      <c r="H1311" t="s">
        <v>147</v>
      </c>
      <c r="I1311" t="s">
        <v>57</v>
      </c>
    </row>
    <row r="1312" spans="1:9">
      <c r="A1312" s="50">
        <v>45684</v>
      </c>
      <c r="B1312" s="51">
        <v>0.5654629629629629</v>
      </c>
      <c r="C1312" t="s">
        <v>151</v>
      </c>
      <c r="D1312" t="s">
        <v>160</v>
      </c>
      <c r="E1312" t="s">
        <v>47</v>
      </c>
      <c r="F1312" t="s">
        <v>7</v>
      </c>
      <c r="G1312">
        <v>230000</v>
      </c>
      <c r="H1312" t="s">
        <v>147</v>
      </c>
      <c r="I1312" t="s">
        <v>61</v>
      </c>
    </row>
    <row r="1313" spans="1:9">
      <c r="A1313" s="50">
        <v>45684</v>
      </c>
      <c r="B1313" s="51">
        <v>0.5649537037037037</v>
      </c>
      <c r="C1313" t="s">
        <v>151</v>
      </c>
      <c r="D1313" t="s">
        <v>160</v>
      </c>
      <c r="E1313" t="s">
        <v>47</v>
      </c>
      <c r="F1313" t="s">
        <v>7</v>
      </c>
      <c r="G1313">
        <v>76668</v>
      </c>
      <c r="H1313" t="s">
        <v>147</v>
      </c>
      <c r="I1313" t="s">
        <v>57</v>
      </c>
    </row>
    <row r="1314" spans="1:9">
      <c r="A1314" s="50">
        <v>45684</v>
      </c>
      <c r="B1314" s="51">
        <v>0.5649421296296296</v>
      </c>
      <c r="C1314" t="s">
        <v>151</v>
      </c>
      <c r="D1314" t="s">
        <v>160</v>
      </c>
      <c r="E1314" t="s">
        <v>47</v>
      </c>
      <c r="F1314" t="s">
        <v>161</v>
      </c>
      <c r="G1314">
        <v>-76668</v>
      </c>
      <c r="H1314" t="s">
        <v>147</v>
      </c>
      <c r="I1314" t="s">
        <v>162</v>
      </c>
    </row>
    <row r="1315" spans="1:9">
      <c r="A1315" s="50">
        <v>45684</v>
      </c>
      <c r="B1315" s="51">
        <v>0.5646412037037037</v>
      </c>
      <c r="C1315" t="s">
        <v>151</v>
      </c>
      <c r="D1315" t="s">
        <v>151</v>
      </c>
      <c r="E1315" t="s">
        <v>47</v>
      </c>
      <c r="F1315" t="s">
        <v>477</v>
      </c>
      <c r="G1315">
        <v>76666</v>
      </c>
      <c r="H1315" t="s">
        <v>147</v>
      </c>
      <c r="I1315" t="s">
        <v>162</v>
      </c>
    </row>
    <row r="1316" spans="1:9">
      <c r="A1316" s="50">
        <v>45684</v>
      </c>
      <c r="B1316" s="51">
        <v>0.5639930555555556</v>
      </c>
      <c r="C1316" t="s">
        <v>149</v>
      </c>
      <c r="D1316" t="s">
        <v>29</v>
      </c>
      <c r="E1316" t="s">
        <v>47</v>
      </c>
      <c r="F1316" t="s">
        <v>478</v>
      </c>
      <c r="G1316">
        <v>2</v>
      </c>
      <c r="H1316" t="s">
        <v>147</v>
      </c>
      <c r="I1316" t="s">
        <v>162</v>
      </c>
    </row>
    <row r="1317" spans="1:9">
      <c r="A1317" s="50">
        <v>45684</v>
      </c>
      <c r="B1317" s="51">
        <v>0.5627314814814814</v>
      </c>
      <c r="C1317" t="s">
        <v>151</v>
      </c>
      <c r="D1317" t="s">
        <v>151</v>
      </c>
      <c r="E1317" t="s">
        <v>47</v>
      </c>
      <c r="F1317" t="s">
        <v>163</v>
      </c>
      <c r="G1317">
        <v>-230000</v>
      </c>
      <c r="H1317" t="s">
        <v>147</v>
      </c>
      <c r="I1317" t="s">
        <v>57</v>
      </c>
    </row>
    <row r="1318" spans="1:9">
      <c r="A1318" s="50">
        <v>45684</v>
      </c>
      <c r="B1318" s="51">
        <v>0.5618518518518518</v>
      </c>
      <c r="C1318" t="s">
        <v>151</v>
      </c>
      <c r="D1318" t="s">
        <v>160</v>
      </c>
      <c r="E1318" t="s">
        <v>47</v>
      </c>
      <c r="F1318" t="s">
        <v>7</v>
      </c>
      <c r="G1318">
        <v>-220000</v>
      </c>
      <c r="H1318" t="s">
        <v>147</v>
      </c>
      <c r="I1318" t="s">
        <v>61</v>
      </c>
    </row>
    <row r="1319" spans="1:9">
      <c r="A1319" s="50">
        <v>45684</v>
      </c>
      <c r="B1319" s="51">
        <v>0.5618518518518518</v>
      </c>
      <c r="C1319" t="s">
        <v>151</v>
      </c>
      <c r="D1319" t="s">
        <v>160</v>
      </c>
      <c r="E1319" t="s">
        <v>47</v>
      </c>
      <c r="F1319" t="s">
        <v>7</v>
      </c>
      <c r="G1319">
        <v>220000</v>
      </c>
      <c r="H1319" t="s">
        <v>147</v>
      </c>
      <c r="I1319" t="s">
        <v>57</v>
      </c>
    </row>
    <row r="1320" spans="1:9">
      <c r="A1320" s="50">
        <v>45683</v>
      </c>
      <c r="B1320" s="51">
        <v>0.931886574074074</v>
      </c>
      <c r="C1320" t="s">
        <v>145</v>
      </c>
      <c r="D1320" t="s">
        <v>42</v>
      </c>
      <c r="E1320" t="s">
        <v>47</v>
      </c>
      <c r="F1320" t="s">
        <v>158</v>
      </c>
      <c r="G1320">
        <v>-20000</v>
      </c>
      <c r="H1320" t="s">
        <v>147</v>
      </c>
      <c r="I1320" t="s">
        <v>57</v>
      </c>
    </row>
    <row r="1321" spans="1:9">
      <c r="A1321" s="50">
        <v>45683</v>
      </c>
      <c r="B1321" s="51">
        <v>0.7071412037037037</v>
      </c>
      <c r="C1321" t="s">
        <v>151</v>
      </c>
      <c r="D1321" t="s">
        <v>160</v>
      </c>
      <c r="E1321" t="s">
        <v>47</v>
      </c>
      <c r="F1321" t="s">
        <v>7</v>
      </c>
      <c r="G1321">
        <v>-200000</v>
      </c>
      <c r="H1321" t="s">
        <v>147</v>
      </c>
      <c r="I1321" t="s">
        <v>57</v>
      </c>
    </row>
    <row r="1322" spans="1:9">
      <c r="A1322" s="50">
        <v>45683</v>
      </c>
      <c r="B1322" s="51">
        <v>0.7071412037037037</v>
      </c>
      <c r="C1322" t="s">
        <v>151</v>
      </c>
      <c r="D1322" t="s">
        <v>160</v>
      </c>
      <c r="E1322" t="s">
        <v>47</v>
      </c>
      <c r="F1322" t="s">
        <v>7</v>
      </c>
      <c r="G1322">
        <v>200000</v>
      </c>
      <c r="H1322" t="s">
        <v>147</v>
      </c>
      <c r="I1322" t="s">
        <v>61</v>
      </c>
    </row>
    <row r="1323" spans="1:9">
      <c r="A1323" s="50">
        <v>45683</v>
      </c>
      <c r="B1323" s="51">
        <v>0.7064236111111111</v>
      </c>
      <c r="C1323" t="s">
        <v>151</v>
      </c>
      <c r="D1323" t="s">
        <v>151</v>
      </c>
      <c r="E1323" t="s">
        <v>47</v>
      </c>
      <c r="F1323" t="s">
        <v>531</v>
      </c>
      <c r="G1323">
        <v>-495000</v>
      </c>
      <c r="H1323" t="s">
        <v>147</v>
      </c>
      <c r="I1323" t="s">
        <v>61</v>
      </c>
    </row>
    <row r="1324" spans="1:9">
      <c r="A1324" s="50">
        <v>45683</v>
      </c>
      <c r="B1324" s="51">
        <v>0.4508217592592593</v>
      </c>
      <c r="C1324" t="s">
        <v>145</v>
      </c>
      <c r="D1324" t="s">
        <v>42</v>
      </c>
      <c r="E1324" t="s">
        <v>47</v>
      </c>
      <c r="F1324" t="s">
        <v>158</v>
      </c>
      <c r="G1324">
        <v>-40000</v>
      </c>
      <c r="H1324" t="s">
        <v>147</v>
      </c>
      <c r="I1324" t="s">
        <v>57</v>
      </c>
    </row>
    <row r="1325" spans="1:9">
      <c r="A1325" s="50">
        <v>45682</v>
      </c>
      <c r="B1325" s="51">
        <v>0.7347685185185185</v>
      </c>
      <c r="C1325" t="s">
        <v>145</v>
      </c>
      <c r="D1325" t="s">
        <v>34</v>
      </c>
      <c r="E1325" t="s">
        <v>47</v>
      </c>
      <c r="F1325" t="s">
        <v>146</v>
      </c>
      <c r="G1325">
        <v>-1700</v>
      </c>
      <c r="H1325" t="s">
        <v>147</v>
      </c>
      <c r="I1325" t="s">
        <v>148</v>
      </c>
    </row>
    <row r="1326" spans="1:9">
      <c r="A1326" s="50">
        <v>45682</v>
      </c>
      <c r="B1326" s="51">
        <v>0.3929050925925926</v>
      </c>
      <c r="C1326" t="s">
        <v>145</v>
      </c>
      <c r="D1326" t="s">
        <v>40</v>
      </c>
      <c r="E1326" t="s">
        <v>47</v>
      </c>
      <c r="F1326" t="s">
        <v>228</v>
      </c>
      <c r="G1326">
        <v>-25800</v>
      </c>
      <c r="H1326" t="s">
        <v>147</v>
      </c>
      <c r="I1326" t="s">
        <v>148</v>
      </c>
    </row>
    <row r="1327" spans="1:9">
      <c r="A1327" s="50">
        <v>45682</v>
      </c>
      <c r="B1327" s="51">
        <v>0.3835416666666667</v>
      </c>
      <c r="C1327" t="s">
        <v>145</v>
      </c>
      <c r="D1327" t="s">
        <v>42</v>
      </c>
      <c r="E1327" t="s">
        <v>47</v>
      </c>
      <c r="F1327" t="s">
        <v>158</v>
      </c>
      <c r="G1327">
        <v>-90000</v>
      </c>
      <c r="H1327" t="s">
        <v>147</v>
      </c>
      <c r="I1327" t="s">
        <v>57</v>
      </c>
    </row>
    <row r="1328" spans="1:9">
      <c r="A1328" s="50">
        <v>45682</v>
      </c>
      <c r="B1328" s="51">
        <v>0.2882523148148148</v>
      </c>
      <c r="C1328" t="s">
        <v>145</v>
      </c>
      <c r="D1328" t="s">
        <v>34</v>
      </c>
      <c r="E1328" t="s">
        <v>47</v>
      </c>
      <c r="F1328" t="s">
        <v>146</v>
      </c>
      <c r="G1328">
        <v>-1700</v>
      </c>
      <c r="H1328" t="s">
        <v>147</v>
      </c>
      <c r="I1328" t="s">
        <v>148</v>
      </c>
    </row>
    <row r="1329" spans="1:9">
      <c r="A1329" s="50">
        <v>45682</v>
      </c>
      <c r="B1329" s="51">
        <v>0.2850810185185185</v>
      </c>
      <c r="C1329" t="s">
        <v>151</v>
      </c>
      <c r="D1329" t="s">
        <v>151</v>
      </c>
      <c r="E1329" t="s">
        <v>47</v>
      </c>
      <c r="F1329" t="s">
        <v>163</v>
      </c>
      <c r="G1329">
        <v>-100000</v>
      </c>
      <c r="H1329" t="s">
        <v>147</v>
      </c>
      <c r="I1329" t="s">
        <v>57</v>
      </c>
    </row>
    <row r="1330" spans="1:9">
      <c r="A1330" s="50">
        <v>45681</v>
      </c>
      <c r="B1330" s="51">
        <v>0.7917476851851852</v>
      </c>
      <c r="C1330" t="s">
        <v>145</v>
      </c>
      <c r="D1330" t="s">
        <v>42</v>
      </c>
      <c r="E1330" t="s">
        <v>47</v>
      </c>
      <c r="F1330" t="s">
        <v>253</v>
      </c>
      <c r="G1330">
        <v>-33400</v>
      </c>
      <c r="H1330" t="s">
        <v>147</v>
      </c>
      <c r="I1330" t="s">
        <v>148</v>
      </c>
    </row>
    <row r="1331" spans="1:9">
      <c r="A1331" s="50">
        <v>45681</v>
      </c>
      <c r="B1331" s="51">
        <v>0.7630208333333334</v>
      </c>
      <c r="C1331" t="s">
        <v>145</v>
      </c>
      <c r="D1331" t="s">
        <v>42</v>
      </c>
      <c r="E1331" t="s">
        <v>47</v>
      </c>
      <c r="F1331" t="s">
        <v>532</v>
      </c>
      <c r="G1331">
        <v>-45000</v>
      </c>
      <c r="H1331" t="s">
        <v>147</v>
      </c>
      <c r="I1331" t="s">
        <v>57</v>
      </c>
    </row>
    <row r="1332" spans="1:9">
      <c r="A1332" s="50">
        <v>45681</v>
      </c>
      <c r="B1332" s="51">
        <v>0.762337962962963</v>
      </c>
      <c r="C1332" t="s">
        <v>145</v>
      </c>
      <c r="D1332" t="s">
        <v>44</v>
      </c>
      <c r="E1332" t="s">
        <v>220</v>
      </c>
      <c r="F1332" t="s">
        <v>221</v>
      </c>
      <c r="G1332">
        <v>-5010</v>
      </c>
      <c r="H1332" t="s">
        <v>147</v>
      </c>
      <c r="I1332" t="s">
        <v>57</v>
      </c>
    </row>
    <row r="1333" spans="1:9">
      <c r="A1333" s="50">
        <v>45681</v>
      </c>
      <c r="B1333" s="51">
        <v>0.7384722222222222</v>
      </c>
      <c r="C1333" t="s">
        <v>145</v>
      </c>
      <c r="D1333" t="s">
        <v>34</v>
      </c>
      <c r="E1333" t="s">
        <v>47</v>
      </c>
      <c r="F1333" t="s">
        <v>146</v>
      </c>
      <c r="G1333">
        <v>-1700</v>
      </c>
      <c r="H1333" t="s">
        <v>147</v>
      </c>
      <c r="I1333" t="s">
        <v>148</v>
      </c>
    </row>
    <row r="1334" spans="1:9">
      <c r="A1334" s="50">
        <v>45681</v>
      </c>
      <c r="B1334" s="51">
        <v>0.6759027777777777</v>
      </c>
      <c r="C1334" t="s">
        <v>145</v>
      </c>
      <c r="D1334" t="s">
        <v>42</v>
      </c>
      <c r="E1334" t="s">
        <v>47</v>
      </c>
      <c r="F1334" t="s">
        <v>170</v>
      </c>
      <c r="G1334">
        <v>-70930</v>
      </c>
      <c r="H1334" t="s">
        <v>147</v>
      </c>
      <c r="I1334" t="s">
        <v>148</v>
      </c>
    </row>
    <row r="1335" spans="1:9">
      <c r="A1335" s="50">
        <v>45681</v>
      </c>
      <c r="B1335" s="51">
        <v>0.6318634259259259</v>
      </c>
      <c r="C1335" t="s">
        <v>145</v>
      </c>
      <c r="D1335" t="s">
        <v>42</v>
      </c>
      <c r="E1335" t="s">
        <v>47</v>
      </c>
      <c r="F1335" t="s">
        <v>219</v>
      </c>
      <c r="G1335">
        <v>-13200</v>
      </c>
      <c r="H1335" t="s">
        <v>147</v>
      </c>
      <c r="I1335" t="s">
        <v>148</v>
      </c>
    </row>
    <row r="1336" spans="1:9">
      <c r="A1336" s="50">
        <v>45681</v>
      </c>
      <c r="B1336" s="51">
        <v>0.5677199074074074</v>
      </c>
      <c r="C1336" t="s">
        <v>145</v>
      </c>
      <c r="D1336" t="s">
        <v>42</v>
      </c>
      <c r="E1336" t="s">
        <v>47</v>
      </c>
      <c r="F1336" t="s">
        <v>153</v>
      </c>
      <c r="G1336">
        <v>-48000</v>
      </c>
      <c r="H1336" t="s">
        <v>147</v>
      </c>
      <c r="I1336" t="s">
        <v>154</v>
      </c>
    </row>
    <row r="1337" spans="1:9">
      <c r="A1337" s="50">
        <v>45681</v>
      </c>
      <c r="B1337" s="51">
        <v>0.5677199074074074</v>
      </c>
      <c r="C1337" t="s">
        <v>151</v>
      </c>
      <c r="D1337" t="s">
        <v>160</v>
      </c>
      <c r="E1337" t="s">
        <v>47</v>
      </c>
      <c r="F1337" t="s">
        <v>163</v>
      </c>
      <c r="G1337">
        <v>-41900</v>
      </c>
      <c r="H1337" t="s">
        <v>147</v>
      </c>
      <c r="I1337" t="s">
        <v>57</v>
      </c>
    </row>
    <row r="1338" spans="1:9">
      <c r="A1338" s="50">
        <v>45681</v>
      </c>
      <c r="B1338" s="51">
        <v>0.5677199074074074</v>
      </c>
      <c r="C1338" t="s">
        <v>151</v>
      </c>
      <c r="D1338" t="s">
        <v>160</v>
      </c>
      <c r="E1338" t="s">
        <v>47</v>
      </c>
      <c r="F1338" t="s">
        <v>161</v>
      </c>
      <c r="G1338">
        <v>41900</v>
      </c>
      <c r="H1338" t="s">
        <v>147</v>
      </c>
      <c r="I1338" t="s">
        <v>162</v>
      </c>
    </row>
    <row r="1339" spans="1:9">
      <c r="A1339" s="50">
        <v>45681</v>
      </c>
      <c r="B1339" s="51">
        <v>0.3949768518518518</v>
      </c>
      <c r="C1339" t="s">
        <v>151</v>
      </c>
      <c r="D1339" t="s">
        <v>160</v>
      </c>
      <c r="E1339" t="s">
        <v>47</v>
      </c>
      <c r="F1339" t="s">
        <v>7</v>
      </c>
      <c r="G1339">
        <v>-2000000</v>
      </c>
      <c r="H1339" t="s">
        <v>147</v>
      </c>
      <c r="I1339" t="s">
        <v>57</v>
      </c>
    </row>
    <row r="1340" spans="1:9">
      <c r="A1340" s="50">
        <v>45681</v>
      </c>
      <c r="B1340" s="51">
        <v>0.3949768518518518</v>
      </c>
      <c r="C1340" t="s">
        <v>151</v>
      </c>
      <c r="D1340" t="s">
        <v>160</v>
      </c>
      <c r="E1340" t="s">
        <v>47</v>
      </c>
      <c r="F1340" t="s">
        <v>7</v>
      </c>
      <c r="G1340">
        <v>2000000</v>
      </c>
      <c r="H1340" t="s">
        <v>147</v>
      </c>
      <c r="I1340" t="s">
        <v>61</v>
      </c>
    </row>
    <row r="1341" spans="1:9">
      <c r="A1341" s="50">
        <v>45681</v>
      </c>
      <c r="B1341" s="51">
        <v>0.3757523148148148</v>
      </c>
      <c r="C1341" t="s">
        <v>151</v>
      </c>
      <c r="D1341" t="s">
        <v>160</v>
      </c>
      <c r="E1341" t="s">
        <v>47</v>
      </c>
      <c r="F1341" t="s">
        <v>163</v>
      </c>
      <c r="G1341">
        <v>-10000</v>
      </c>
      <c r="H1341" t="s">
        <v>147</v>
      </c>
      <c r="I1341" t="s">
        <v>57</v>
      </c>
    </row>
    <row r="1342" spans="1:9">
      <c r="A1342" s="50">
        <v>45681</v>
      </c>
      <c r="B1342" s="51">
        <v>0.3757407407407408</v>
      </c>
      <c r="C1342" t="s">
        <v>145</v>
      </c>
      <c r="D1342" t="s">
        <v>42</v>
      </c>
      <c r="E1342" t="s">
        <v>47</v>
      </c>
      <c r="F1342" t="s">
        <v>153</v>
      </c>
      <c r="G1342">
        <v>-3900</v>
      </c>
      <c r="H1342" t="s">
        <v>147</v>
      </c>
      <c r="I1342" t="s">
        <v>154</v>
      </c>
    </row>
    <row r="1343" spans="1:9">
      <c r="A1343" s="50">
        <v>45681</v>
      </c>
      <c r="B1343" s="51">
        <v>0.3757407407407408</v>
      </c>
      <c r="C1343" t="s">
        <v>151</v>
      </c>
      <c r="D1343" t="s">
        <v>160</v>
      </c>
      <c r="E1343" t="s">
        <v>47</v>
      </c>
      <c r="F1343" t="s">
        <v>161</v>
      </c>
      <c r="G1343">
        <v>10000</v>
      </c>
      <c r="H1343" t="s">
        <v>147</v>
      </c>
      <c r="I1343" t="s">
        <v>162</v>
      </c>
    </row>
    <row r="1344" spans="1:9">
      <c r="A1344" s="50">
        <v>45681</v>
      </c>
      <c r="B1344" s="51">
        <v>0.3601041666666667</v>
      </c>
      <c r="C1344" t="s">
        <v>151</v>
      </c>
      <c r="D1344" t="s">
        <v>198</v>
      </c>
      <c r="E1344" t="s">
        <v>47</v>
      </c>
      <c r="F1344" t="s">
        <v>213</v>
      </c>
      <c r="G1344">
        <v>2679200</v>
      </c>
      <c r="H1344" t="s">
        <v>147</v>
      </c>
      <c r="I1344" t="s">
        <v>57</v>
      </c>
    </row>
    <row r="1345" spans="1:9">
      <c r="A1345" s="50">
        <v>45681</v>
      </c>
      <c r="B1345" s="51">
        <v>0.2889467592592593</v>
      </c>
      <c r="C1345" t="s">
        <v>145</v>
      </c>
      <c r="D1345" t="s">
        <v>34</v>
      </c>
      <c r="E1345" t="s">
        <v>47</v>
      </c>
      <c r="F1345" t="s">
        <v>146</v>
      </c>
      <c r="G1345">
        <v>-1700</v>
      </c>
      <c r="H1345" t="s">
        <v>147</v>
      </c>
      <c r="I1345" t="s">
        <v>148</v>
      </c>
    </row>
    <row r="1346" spans="1:9">
      <c r="A1346" s="50">
        <v>45680</v>
      </c>
      <c r="B1346" s="51">
        <v>0.9370601851851852</v>
      </c>
      <c r="C1346" t="s">
        <v>151</v>
      </c>
      <c r="D1346" t="s">
        <v>160</v>
      </c>
      <c r="E1346" t="s">
        <v>47</v>
      </c>
      <c r="F1346" t="s">
        <v>7</v>
      </c>
      <c r="G1346">
        <v>200000</v>
      </c>
      <c r="H1346" t="s">
        <v>147</v>
      </c>
      <c r="I1346" t="s">
        <v>57</v>
      </c>
    </row>
    <row r="1347" spans="1:9">
      <c r="A1347" s="50">
        <v>45680</v>
      </c>
      <c r="B1347" s="51">
        <v>0.9370486111111112</v>
      </c>
      <c r="C1347" t="s">
        <v>151</v>
      </c>
      <c r="D1347" t="s">
        <v>160</v>
      </c>
      <c r="E1347" t="s">
        <v>47</v>
      </c>
      <c r="F1347" t="s">
        <v>161</v>
      </c>
      <c r="G1347">
        <v>-200000</v>
      </c>
      <c r="H1347" t="s">
        <v>147</v>
      </c>
      <c r="I1347" t="s">
        <v>162</v>
      </c>
    </row>
    <row r="1348" spans="1:9">
      <c r="A1348" s="50">
        <v>45680</v>
      </c>
      <c r="B1348" s="51">
        <v>0.7815393518518519</v>
      </c>
      <c r="C1348" t="s">
        <v>145</v>
      </c>
      <c r="D1348" t="s">
        <v>42</v>
      </c>
      <c r="E1348" t="s">
        <v>47</v>
      </c>
      <c r="F1348" t="s">
        <v>253</v>
      </c>
      <c r="G1348">
        <v>-14000</v>
      </c>
      <c r="H1348" t="s">
        <v>147</v>
      </c>
      <c r="I1348" t="s">
        <v>148</v>
      </c>
    </row>
    <row r="1349" spans="1:9">
      <c r="A1349" s="50">
        <v>45680</v>
      </c>
      <c r="B1349" s="51">
        <v>0.7728356481481482</v>
      </c>
      <c r="C1349" t="s">
        <v>145</v>
      </c>
      <c r="D1349" t="s">
        <v>34</v>
      </c>
      <c r="E1349" t="s">
        <v>47</v>
      </c>
      <c r="F1349" t="s">
        <v>146</v>
      </c>
      <c r="G1349">
        <v>-1700</v>
      </c>
      <c r="H1349" t="s">
        <v>147</v>
      </c>
      <c r="I1349" t="s">
        <v>148</v>
      </c>
    </row>
    <row r="1350" spans="1:9">
      <c r="A1350" s="50">
        <v>45680</v>
      </c>
      <c r="B1350" s="51">
        <v>0.5571759259259259</v>
      </c>
      <c r="C1350" t="s">
        <v>151</v>
      </c>
      <c r="D1350" t="s">
        <v>151</v>
      </c>
      <c r="E1350" t="s">
        <v>47</v>
      </c>
      <c r="F1350" t="s">
        <v>533</v>
      </c>
      <c r="G1350">
        <v>200000</v>
      </c>
      <c r="H1350" t="s">
        <v>147</v>
      </c>
      <c r="I1350" t="s">
        <v>162</v>
      </c>
    </row>
    <row r="1351" spans="1:9">
      <c r="A1351" s="50">
        <v>45680</v>
      </c>
      <c r="B1351" s="51">
        <v>0.5567476851851851</v>
      </c>
      <c r="C1351" t="s">
        <v>151</v>
      </c>
      <c r="D1351" t="s">
        <v>160</v>
      </c>
      <c r="E1351" t="s">
        <v>47</v>
      </c>
      <c r="F1351" t="s">
        <v>7</v>
      </c>
      <c r="G1351">
        <v>-100000</v>
      </c>
      <c r="H1351" t="s">
        <v>147</v>
      </c>
      <c r="I1351" t="s">
        <v>61</v>
      </c>
    </row>
    <row r="1352" spans="1:9">
      <c r="A1352" s="50">
        <v>45680</v>
      </c>
      <c r="B1352" s="51">
        <v>0.5567476851851851</v>
      </c>
      <c r="C1352" t="s">
        <v>151</v>
      </c>
      <c r="D1352" t="s">
        <v>160</v>
      </c>
      <c r="E1352" t="s">
        <v>47</v>
      </c>
      <c r="F1352" t="s">
        <v>7</v>
      </c>
      <c r="G1352">
        <v>100000</v>
      </c>
      <c r="H1352" t="s">
        <v>147</v>
      </c>
      <c r="I1352" t="s">
        <v>57</v>
      </c>
    </row>
    <row r="1353" spans="1:9">
      <c r="A1353" s="50">
        <v>45680</v>
      </c>
      <c r="B1353" s="51">
        <v>0.2880902777777778</v>
      </c>
      <c r="C1353" t="s">
        <v>145</v>
      </c>
      <c r="D1353" t="s">
        <v>34</v>
      </c>
      <c r="E1353" t="s">
        <v>47</v>
      </c>
      <c r="F1353" t="s">
        <v>146</v>
      </c>
      <c r="G1353">
        <v>-1700</v>
      </c>
      <c r="H1353" t="s">
        <v>147</v>
      </c>
      <c r="I1353" t="s">
        <v>148</v>
      </c>
    </row>
    <row r="1354" spans="1:9">
      <c r="A1354" s="50">
        <v>45678</v>
      </c>
      <c r="B1354" s="51">
        <v>0.7669791666666667</v>
      </c>
      <c r="C1354" t="s">
        <v>145</v>
      </c>
      <c r="D1354" t="s">
        <v>44</v>
      </c>
      <c r="E1354" t="s">
        <v>220</v>
      </c>
      <c r="F1354" t="s">
        <v>221</v>
      </c>
      <c r="G1354">
        <v>-211552</v>
      </c>
      <c r="H1354" t="s">
        <v>147</v>
      </c>
      <c r="I1354" t="s">
        <v>57</v>
      </c>
    </row>
    <row r="1355" spans="1:9">
      <c r="A1355" s="50">
        <v>45678</v>
      </c>
      <c r="B1355" s="51">
        <v>0.7411689814814815</v>
      </c>
      <c r="C1355" t="s">
        <v>145</v>
      </c>
      <c r="D1355" t="s">
        <v>34</v>
      </c>
      <c r="E1355" t="s">
        <v>47</v>
      </c>
      <c r="F1355" t="s">
        <v>146</v>
      </c>
      <c r="G1355">
        <v>-1700</v>
      </c>
      <c r="H1355" t="s">
        <v>147</v>
      </c>
      <c r="I1355" t="s">
        <v>148</v>
      </c>
    </row>
    <row r="1356" spans="1:9">
      <c r="A1356" s="50">
        <v>45678</v>
      </c>
      <c r="B1356" s="51">
        <v>0.2954513888888889</v>
      </c>
      <c r="C1356" t="s">
        <v>145</v>
      </c>
      <c r="D1356" t="s">
        <v>34</v>
      </c>
      <c r="E1356" t="s">
        <v>47</v>
      </c>
      <c r="F1356" t="s">
        <v>146</v>
      </c>
      <c r="G1356">
        <v>-1700</v>
      </c>
      <c r="H1356" t="s">
        <v>147</v>
      </c>
      <c r="I1356" t="s">
        <v>148</v>
      </c>
    </row>
    <row r="1357" spans="1:9">
      <c r="A1357" s="50">
        <v>45677</v>
      </c>
      <c r="B1357" s="51">
        <v>0.8685648148148148</v>
      </c>
      <c r="C1357" t="s">
        <v>145</v>
      </c>
      <c r="D1357" t="s">
        <v>40</v>
      </c>
      <c r="E1357" t="s">
        <v>47</v>
      </c>
      <c r="F1357" t="s">
        <v>534</v>
      </c>
      <c r="G1357">
        <v>-231000</v>
      </c>
      <c r="H1357" t="s">
        <v>147</v>
      </c>
      <c r="I1357" t="s">
        <v>165</v>
      </c>
    </row>
    <row r="1358" spans="1:9">
      <c r="A1358" s="50">
        <v>45677</v>
      </c>
      <c r="B1358" s="51">
        <v>0.7646180555555555</v>
      </c>
      <c r="C1358" t="s">
        <v>145</v>
      </c>
      <c r="D1358" t="s">
        <v>42</v>
      </c>
      <c r="E1358" t="s">
        <v>47</v>
      </c>
      <c r="F1358" t="s">
        <v>153</v>
      </c>
      <c r="G1358">
        <v>-35900</v>
      </c>
      <c r="H1358" t="s">
        <v>147</v>
      </c>
      <c r="I1358" t="s">
        <v>154</v>
      </c>
    </row>
    <row r="1359" spans="1:9">
      <c r="A1359" s="50">
        <v>45677</v>
      </c>
      <c r="B1359" s="51">
        <v>0.7646180555555555</v>
      </c>
      <c r="C1359" t="s">
        <v>151</v>
      </c>
      <c r="D1359" t="s">
        <v>160</v>
      </c>
      <c r="E1359" t="s">
        <v>47</v>
      </c>
      <c r="F1359" t="s">
        <v>163</v>
      </c>
      <c r="G1359">
        <v>-35899</v>
      </c>
      <c r="H1359" t="s">
        <v>147</v>
      </c>
      <c r="I1359" t="s">
        <v>57</v>
      </c>
    </row>
    <row r="1360" spans="1:9">
      <c r="A1360" s="50">
        <v>45677</v>
      </c>
      <c r="B1360" s="51">
        <v>0.7646180555555555</v>
      </c>
      <c r="C1360" t="s">
        <v>151</v>
      </c>
      <c r="D1360" t="s">
        <v>160</v>
      </c>
      <c r="E1360" t="s">
        <v>47</v>
      </c>
      <c r="F1360" t="s">
        <v>161</v>
      </c>
      <c r="G1360">
        <v>35899</v>
      </c>
      <c r="H1360" t="s">
        <v>147</v>
      </c>
      <c r="I1360" t="s">
        <v>162</v>
      </c>
    </row>
    <row r="1361" spans="1:9">
      <c r="A1361" s="50">
        <v>45677</v>
      </c>
      <c r="B1361" s="51">
        <v>0.6444444444444445</v>
      </c>
      <c r="C1361" t="s">
        <v>151</v>
      </c>
      <c r="D1361" t="s">
        <v>160</v>
      </c>
      <c r="E1361" t="s">
        <v>47</v>
      </c>
      <c r="F1361" t="s">
        <v>7</v>
      </c>
      <c r="G1361">
        <v>200000</v>
      </c>
      <c r="H1361" t="s">
        <v>147</v>
      </c>
      <c r="I1361" t="s">
        <v>57</v>
      </c>
    </row>
    <row r="1362" spans="1:9">
      <c r="A1362" s="50">
        <v>45677</v>
      </c>
      <c r="B1362" s="51">
        <v>0.6444444444444445</v>
      </c>
      <c r="C1362" t="s">
        <v>151</v>
      </c>
      <c r="D1362" t="s">
        <v>160</v>
      </c>
      <c r="E1362" t="s">
        <v>47</v>
      </c>
      <c r="F1362" t="s">
        <v>7</v>
      </c>
      <c r="G1362">
        <v>-200000</v>
      </c>
      <c r="H1362" t="s">
        <v>147</v>
      </c>
      <c r="I1362" t="s">
        <v>61</v>
      </c>
    </row>
    <row r="1363" spans="1:9">
      <c r="A1363" s="50">
        <v>45676</v>
      </c>
      <c r="B1363" s="51">
        <v>0.5805208333333334</v>
      </c>
      <c r="C1363" t="s">
        <v>145</v>
      </c>
      <c r="D1363" t="s">
        <v>42</v>
      </c>
      <c r="E1363" t="s">
        <v>47</v>
      </c>
      <c r="F1363" t="s">
        <v>216</v>
      </c>
      <c r="G1363">
        <v>-22500</v>
      </c>
      <c r="H1363" t="s">
        <v>147</v>
      </c>
      <c r="I1363" t="s">
        <v>148</v>
      </c>
    </row>
    <row r="1364" spans="1:9">
      <c r="A1364" s="50">
        <v>45676</v>
      </c>
      <c r="B1364" s="51">
        <v>0.5804050925925925</v>
      </c>
      <c r="C1364" t="s">
        <v>151</v>
      </c>
      <c r="D1364" t="s">
        <v>160</v>
      </c>
      <c r="E1364" t="s">
        <v>47</v>
      </c>
      <c r="F1364" t="s">
        <v>7</v>
      </c>
      <c r="G1364">
        <v>50000</v>
      </c>
      <c r="H1364" t="s">
        <v>147</v>
      </c>
      <c r="I1364" t="s">
        <v>57</v>
      </c>
    </row>
    <row r="1365" spans="1:9">
      <c r="A1365" s="50">
        <v>45675</v>
      </c>
      <c r="B1365" s="51">
        <v>0.9535185185185185</v>
      </c>
      <c r="C1365" t="s">
        <v>145</v>
      </c>
      <c r="D1365" t="s">
        <v>34</v>
      </c>
      <c r="E1365" t="s">
        <v>47</v>
      </c>
      <c r="F1365" t="s">
        <v>146</v>
      </c>
      <c r="G1365">
        <v>-1400</v>
      </c>
      <c r="H1365" t="s">
        <v>147</v>
      </c>
      <c r="I1365" t="s">
        <v>148</v>
      </c>
    </row>
    <row r="1366" spans="1:9">
      <c r="A1366" s="50">
        <v>45675</v>
      </c>
      <c r="B1366" s="51">
        <v>0.7619097222222222</v>
      </c>
      <c r="C1366" t="s">
        <v>145</v>
      </c>
      <c r="D1366" t="s">
        <v>34</v>
      </c>
      <c r="E1366" t="s">
        <v>47</v>
      </c>
      <c r="F1366" t="s">
        <v>146</v>
      </c>
      <c r="G1366">
        <v>-1400</v>
      </c>
      <c r="H1366" t="s">
        <v>147</v>
      </c>
      <c r="I1366" t="s">
        <v>148</v>
      </c>
    </row>
    <row r="1367" spans="1:9">
      <c r="A1367" s="50">
        <v>45675</v>
      </c>
      <c r="B1367" s="51">
        <v>0.7354282407407408</v>
      </c>
      <c r="C1367" t="s">
        <v>145</v>
      </c>
      <c r="D1367" t="s">
        <v>42</v>
      </c>
      <c r="E1367" t="s">
        <v>47</v>
      </c>
      <c r="F1367" t="s">
        <v>216</v>
      </c>
      <c r="G1367">
        <v>-42000</v>
      </c>
      <c r="H1367" t="s">
        <v>147</v>
      </c>
      <c r="I1367" t="s">
        <v>148</v>
      </c>
    </row>
    <row r="1368" spans="1:9">
      <c r="A1368" s="50">
        <v>45675</v>
      </c>
      <c r="B1368" s="51">
        <v>0.5008912037037037</v>
      </c>
      <c r="C1368" t="s">
        <v>145</v>
      </c>
      <c r="D1368" t="s">
        <v>42</v>
      </c>
      <c r="E1368" t="s">
        <v>47</v>
      </c>
      <c r="F1368" t="s">
        <v>216</v>
      </c>
      <c r="G1368">
        <v>-49800</v>
      </c>
      <c r="H1368" t="s">
        <v>147</v>
      </c>
      <c r="I1368" t="s">
        <v>148</v>
      </c>
    </row>
    <row r="1369" spans="1:9">
      <c r="A1369" s="50">
        <v>45675</v>
      </c>
      <c r="B1369" s="51">
        <v>0.2931018518518518</v>
      </c>
      <c r="C1369" t="s">
        <v>145</v>
      </c>
      <c r="D1369" t="s">
        <v>34</v>
      </c>
      <c r="E1369" t="s">
        <v>47</v>
      </c>
      <c r="F1369" t="s">
        <v>146</v>
      </c>
      <c r="G1369">
        <v>-1700</v>
      </c>
      <c r="H1369" t="s">
        <v>147</v>
      </c>
      <c r="I1369" t="s">
        <v>148</v>
      </c>
    </row>
    <row r="1370" spans="1:9">
      <c r="A1370" s="50">
        <v>45674</v>
      </c>
      <c r="B1370" s="51">
        <v>0.9576388888888889</v>
      </c>
      <c r="C1370" t="s">
        <v>151</v>
      </c>
      <c r="D1370" t="s">
        <v>151</v>
      </c>
      <c r="E1370" t="s">
        <v>47</v>
      </c>
      <c r="F1370" t="s">
        <v>163</v>
      </c>
      <c r="G1370">
        <v>-33475</v>
      </c>
      <c r="H1370" t="s">
        <v>147</v>
      </c>
      <c r="I1370" t="s">
        <v>57</v>
      </c>
    </row>
    <row r="1371" spans="1:9">
      <c r="A1371" s="50">
        <v>45674</v>
      </c>
      <c r="B1371" s="51">
        <v>0.9573379629629629</v>
      </c>
      <c r="C1371" t="s">
        <v>151</v>
      </c>
      <c r="D1371" t="s">
        <v>160</v>
      </c>
      <c r="E1371" t="s">
        <v>47</v>
      </c>
      <c r="F1371" t="s">
        <v>7</v>
      </c>
      <c r="G1371">
        <v>-100000</v>
      </c>
      <c r="H1371" t="s">
        <v>147</v>
      </c>
      <c r="I1371" t="s">
        <v>61</v>
      </c>
    </row>
    <row r="1372" spans="1:9">
      <c r="A1372" s="50">
        <v>45674</v>
      </c>
      <c r="B1372" s="51">
        <v>0.9573379629629629</v>
      </c>
      <c r="C1372" t="s">
        <v>151</v>
      </c>
      <c r="D1372" t="s">
        <v>160</v>
      </c>
      <c r="E1372" t="s">
        <v>47</v>
      </c>
      <c r="F1372" t="s">
        <v>7</v>
      </c>
      <c r="G1372">
        <v>100000</v>
      </c>
      <c r="H1372" t="s">
        <v>147</v>
      </c>
      <c r="I1372" t="s">
        <v>57</v>
      </c>
    </row>
    <row r="1373" spans="1:9">
      <c r="A1373" s="50">
        <v>45674</v>
      </c>
      <c r="B1373" s="51">
        <v>0.8050347222222223</v>
      </c>
      <c r="C1373" t="s">
        <v>145</v>
      </c>
      <c r="D1373" t="s">
        <v>42</v>
      </c>
      <c r="E1373" t="s">
        <v>47</v>
      </c>
      <c r="F1373" t="s">
        <v>512</v>
      </c>
      <c r="G1373">
        <v>-7890</v>
      </c>
      <c r="H1373" t="s">
        <v>147</v>
      </c>
      <c r="I1373" t="s">
        <v>148</v>
      </c>
    </row>
    <row r="1374" spans="1:9">
      <c r="A1374" s="50">
        <v>45674</v>
      </c>
      <c r="B1374" s="51">
        <v>0.7390625</v>
      </c>
      <c r="C1374" t="s">
        <v>145</v>
      </c>
      <c r="D1374" t="s">
        <v>34</v>
      </c>
      <c r="E1374" t="s">
        <v>47</v>
      </c>
      <c r="F1374" t="s">
        <v>146</v>
      </c>
      <c r="G1374">
        <v>-1700</v>
      </c>
      <c r="H1374" t="s">
        <v>147</v>
      </c>
      <c r="I1374" t="s">
        <v>148</v>
      </c>
    </row>
    <row r="1375" spans="1:9">
      <c r="A1375" s="50">
        <v>45674</v>
      </c>
      <c r="B1375" s="51">
        <v>0.4541435185185185</v>
      </c>
      <c r="C1375" t="s">
        <v>151</v>
      </c>
      <c r="D1375" t="s">
        <v>160</v>
      </c>
      <c r="E1375" t="s">
        <v>47</v>
      </c>
      <c r="F1375" t="s">
        <v>7</v>
      </c>
      <c r="G1375">
        <v>50000</v>
      </c>
      <c r="H1375" t="s">
        <v>147</v>
      </c>
      <c r="I1375" t="s">
        <v>57</v>
      </c>
    </row>
    <row r="1376" spans="1:9">
      <c r="A1376" s="50">
        <v>45674</v>
      </c>
      <c r="B1376" s="51">
        <v>0.2869791666666667</v>
      </c>
      <c r="C1376" t="s">
        <v>145</v>
      </c>
      <c r="D1376" t="s">
        <v>34</v>
      </c>
      <c r="E1376" t="s">
        <v>47</v>
      </c>
      <c r="F1376" t="s">
        <v>146</v>
      </c>
      <c r="G1376">
        <v>-1700</v>
      </c>
      <c r="H1376" t="s">
        <v>147</v>
      </c>
      <c r="I1376" t="s">
        <v>148</v>
      </c>
    </row>
    <row r="1377" spans="1:9">
      <c r="A1377" s="50">
        <v>45673</v>
      </c>
      <c r="B1377" s="51">
        <v>0.6957986111111111</v>
      </c>
      <c r="C1377" t="s">
        <v>145</v>
      </c>
      <c r="D1377" t="s">
        <v>34</v>
      </c>
      <c r="E1377" t="s">
        <v>47</v>
      </c>
      <c r="F1377" t="s">
        <v>146</v>
      </c>
      <c r="G1377">
        <v>-1700</v>
      </c>
      <c r="H1377" t="s">
        <v>147</v>
      </c>
      <c r="I1377" t="s">
        <v>148</v>
      </c>
    </row>
    <row r="1378" spans="1:9">
      <c r="A1378" s="50">
        <v>45673</v>
      </c>
      <c r="B1378" s="51">
        <v>0.582962962962963</v>
      </c>
      <c r="C1378" t="s">
        <v>145</v>
      </c>
      <c r="D1378" t="s">
        <v>42</v>
      </c>
      <c r="E1378" t="s">
        <v>47</v>
      </c>
      <c r="F1378" t="s">
        <v>153</v>
      </c>
      <c r="G1378">
        <v>-34900</v>
      </c>
      <c r="H1378" t="s">
        <v>147</v>
      </c>
      <c r="I1378" t="s">
        <v>154</v>
      </c>
    </row>
    <row r="1379" spans="1:9">
      <c r="A1379" s="50">
        <v>45673</v>
      </c>
      <c r="B1379" s="51">
        <v>0.582962962962963</v>
      </c>
      <c r="C1379" t="s">
        <v>151</v>
      </c>
      <c r="D1379" t="s">
        <v>160</v>
      </c>
      <c r="E1379" t="s">
        <v>47</v>
      </c>
      <c r="F1379" t="s">
        <v>163</v>
      </c>
      <c r="G1379">
        <v>-26890</v>
      </c>
      <c r="H1379" t="s">
        <v>147</v>
      </c>
      <c r="I1379" t="s">
        <v>57</v>
      </c>
    </row>
    <row r="1380" spans="1:9">
      <c r="A1380" s="50">
        <v>45673</v>
      </c>
      <c r="B1380" s="51">
        <v>0.582962962962963</v>
      </c>
      <c r="C1380" t="s">
        <v>151</v>
      </c>
      <c r="D1380" t="s">
        <v>160</v>
      </c>
      <c r="E1380" t="s">
        <v>47</v>
      </c>
      <c r="F1380" t="s">
        <v>161</v>
      </c>
      <c r="G1380">
        <v>26890</v>
      </c>
      <c r="H1380" t="s">
        <v>147</v>
      </c>
      <c r="I1380" t="s">
        <v>162</v>
      </c>
    </row>
    <row r="1381" spans="1:9">
      <c r="A1381" s="50">
        <v>45673</v>
      </c>
      <c r="B1381" s="51">
        <v>0.2932638888888889</v>
      </c>
      <c r="C1381" t="s">
        <v>145</v>
      </c>
      <c r="D1381" t="s">
        <v>42</v>
      </c>
      <c r="E1381" t="s">
        <v>47</v>
      </c>
      <c r="F1381" t="s">
        <v>219</v>
      </c>
      <c r="G1381">
        <v>-14530</v>
      </c>
      <c r="H1381" t="s">
        <v>147</v>
      </c>
      <c r="I1381" t="s">
        <v>148</v>
      </c>
    </row>
    <row r="1382" spans="1:9">
      <c r="A1382" s="50">
        <v>45673</v>
      </c>
      <c r="B1382" s="51">
        <v>0.2932638888888889</v>
      </c>
      <c r="C1382" t="s">
        <v>145</v>
      </c>
      <c r="D1382" t="s">
        <v>42</v>
      </c>
      <c r="E1382" t="s">
        <v>47</v>
      </c>
      <c r="F1382" t="s">
        <v>219</v>
      </c>
      <c r="G1382">
        <v>-14530</v>
      </c>
      <c r="H1382" t="s">
        <v>147</v>
      </c>
      <c r="I1382" t="s">
        <v>148</v>
      </c>
    </row>
    <row r="1383" spans="1:9">
      <c r="A1383" s="50">
        <v>45673</v>
      </c>
      <c r="B1383" s="51">
        <v>0.2901736111111111</v>
      </c>
      <c r="C1383" t="s">
        <v>145</v>
      </c>
      <c r="D1383" t="s">
        <v>34</v>
      </c>
      <c r="E1383" t="s">
        <v>47</v>
      </c>
      <c r="F1383" t="s">
        <v>146</v>
      </c>
      <c r="G1383">
        <v>-1700</v>
      </c>
      <c r="H1383" t="s">
        <v>147</v>
      </c>
      <c r="I1383" t="s">
        <v>148</v>
      </c>
    </row>
    <row r="1384" spans="1:9">
      <c r="A1384" s="50">
        <v>45672</v>
      </c>
      <c r="B1384" s="51">
        <v>0.7806828703703703</v>
      </c>
      <c r="C1384" t="s">
        <v>145</v>
      </c>
      <c r="D1384" t="s">
        <v>35</v>
      </c>
      <c r="E1384" t="s">
        <v>204</v>
      </c>
      <c r="F1384" t="s">
        <v>511</v>
      </c>
      <c r="G1384">
        <v>-28200</v>
      </c>
      <c r="H1384" t="s">
        <v>147</v>
      </c>
      <c r="I1384" t="s">
        <v>57</v>
      </c>
    </row>
    <row r="1385" spans="1:9">
      <c r="A1385" s="50">
        <v>45672</v>
      </c>
      <c r="B1385" s="51">
        <v>0.04711805555555556</v>
      </c>
      <c r="C1385" t="s">
        <v>145</v>
      </c>
      <c r="D1385" t="s">
        <v>42</v>
      </c>
      <c r="E1385" t="s">
        <v>47</v>
      </c>
      <c r="F1385" t="s">
        <v>225</v>
      </c>
      <c r="G1385">
        <v>-1990</v>
      </c>
      <c r="H1385" t="s">
        <v>147</v>
      </c>
      <c r="I1385" t="s">
        <v>154</v>
      </c>
    </row>
    <row r="1386" spans="1:9">
      <c r="A1386" s="50">
        <v>45672</v>
      </c>
      <c r="B1386" s="51">
        <v>0.04711805555555556</v>
      </c>
      <c r="C1386" t="s">
        <v>151</v>
      </c>
      <c r="D1386" t="s">
        <v>160</v>
      </c>
      <c r="E1386" t="s">
        <v>47</v>
      </c>
      <c r="F1386" t="s">
        <v>163</v>
      </c>
      <c r="G1386">
        <v>-10000</v>
      </c>
      <c r="H1386" t="s">
        <v>147</v>
      </c>
      <c r="I1386" t="s">
        <v>57</v>
      </c>
    </row>
    <row r="1387" spans="1:9">
      <c r="A1387" s="50">
        <v>45672</v>
      </c>
      <c r="B1387" s="51">
        <v>0.04711805555555556</v>
      </c>
      <c r="C1387" t="s">
        <v>151</v>
      </c>
      <c r="D1387" t="s">
        <v>160</v>
      </c>
      <c r="E1387" t="s">
        <v>47</v>
      </c>
      <c r="F1387" t="s">
        <v>161</v>
      </c>
      <c r="G1387">
        <v>10000</v>
      </c>
      <c r="H1387" t="s">
        <v>147</v>
      </c>
      <c r="I1387" t="s">
        <v>162</v>
      </c>
    </row>
    <row r="1388" spans="1:9">
      <c r="A1388" s="50">
        <v>45671</v>
      </c>
      <c r="B1388" s="51">
        <v>0.7453240740740741</v>
      </c>
      <c r="C1388" t="s">
        <v>151</v>
      </c>
      <c r="D1388" t="s">
        <v>151</v>
      </c>
      <c r="E1388" t="s">
        <v>47</v>
      </c>
      <c r="F1388" t="s">
        <v>163</v>
      </c>
      <c r="G1388">
        <v>-100000</v>
      </c>
      <c r="H1388" t="s">
        <v>147</v>
      </c>
      <c r="I1388" t="s">
        <v>57</v>
      </c>
    </row>
    <row r="1389" spans="1:9">
      <c r="A1389" s="50">
        <v>45670</v>
      </c>
      <c r="B1389" s="51">
        <v>0.8748263888888889</v>
      </c>
      <c r="C1389" t="s">
        <v>145</v>
      </c>
      <c r="D1389" t="s">
        <v>42</v>
      </c>
      <c r="E1389" t="s">
        <v>47</v>
      </c>
      <c r="F1389" t="s">
        <v>153</v>
      </c>
      <c r="G1389">
        <v>-48450</v>
      </c>
      <c r="H1389" t="s">
        <v>147</v>
      </c>
      <c r="I1389" t="s">
        <v>154</v>
      </c>
    </row>
    <row r="1390" spans="1:9">
      <c r="A1390" s="50">
        <v>45670</v>
      </c>
      <c r="B1390" s="51">
        <v>0.4031134259259259</v>
      </c>
      <c r="C1390" t="s">
        <v>145</v>
      </c>
      <c r="D1390" t="s">
        <v>42</v>
      </c>
      <c r="E1390" t="s">
        <v>47</v>
      </c>
      <c r="F1390" t="s">
        <v>153</v>
      </c>
      <c r="G1390">
        <v>-34000</v>
      </c>
      <c r="H1390" t="s">
        <v>147</v>
      </c>
      <c r="I1390" t="s">
        <v>154</v>
      </c>
    </row>
    <row r="1391" spans="1:9">
      <c r="A1391" s="50">
        <v>45670</v>
      </c>
      <c r="B1391" s="51">
        <v>0.4031134259259259</v>
      </c>
      <c r="C1391" t="s">
        <v>151</v>
      </c>
      <c r="D1391" t="s">
        <v>160</v>
      </c>
      <c r="E1391" t="s">
        <v>47</v>
      </c>
      <c r="F1391" t="s">
        <v>163</v>
      </c>
      <c r="G1391">
        <v>-29145</v>
      </c>
      <c r="H1391" t="s">
        <v>147</v>
      </c>
      <c r="I1391" t="s">
        <v>57</v>
      </c>
    </row>
    <row r="1392" spans="1:9">
      <c r="A1392" s="50">
        <v>45670</v>
      </c>
      <c r="B1392" s="51">
        <v>0.4031134259259259</v>
      </c>
      <c r="C1392" t="s">
        <v>151</v>
      </c>
      <c r="D1392" t="s">
        <v>160</v>
      </c>
      <c r="E1392" t="s">
        <v>47</v>
      </c>
      <c r="F1392" t="s">
        <v>161</v>
      </c>
      <c r="G1392">
        <v>29145</v>
      </c>
      <c r="H1392" t="s">
        <v>147</v>
      </c>
      <c r="I1392" t="s">
        <v>162</v>
      </c>
    </row>
    <row r="1393" spans="1:9">
      <c r="A1393" s="50">
        <v>45670</v>
      </c>
      <c r="B1393" s="51">
        <v>0.3792476851851852</v>
      </c>
      <c r="C1393" t="s">
        <v>151</v>
      </c>
      <c r="D1393" t="s">
        <v>160</v>
      </c>
      <c r="E1393" t="s">
        <v>47</v>
      </c>
      <c r="F1393" t="s">
        <v>7</v>
      </c>
      <c r="G1393">
        <v>-100000</v>
      </c>
      <c r="H1393" t="s">
        <v>147</v>
      </c>
      <c r="I1393" t="s">
        <v>57</v>
      </c>
    </row>
    <row r="1394" spans="1:9">
      <c r="A1394" s="50">
        <v>45670</v>
      </c>
      <c r="B1394" s="51">
        <v>0.1303009259259259</v>
      </c>
      <c r="C1394" t="s">
        <v>145</v>
      </c>
      <c r="D1394" t="s">
        <v>35</v>
      </c>
      <c r="E1394" t="s">
        <v>207</v>
      </c>
      <c r="F1394" t="s">
        <v>234</v>
      </c>
      <c r="G1394">
        <v>-161075</v>
      </c>
      <c r="H1394" t="s">
        <v>147</v>
      </c>
      <c r="I1394" t="s">
        <v>57</v>
      </c>
    </row>
    <row r="1395" spans="1:9">
      <c r="A1395" s="50">
        <v>45670</v>
      </c>
      <c r="B1395" s="51">
        <v>0.1281944444444444</v>
      </c>
      <c r="C1395" t="s">
        <v>151</v>
      </c>
      <c r="D1395" t="s">
        <v>151</v>
      </c>
      <c r="E1395" t="s">
        <v>47</v>
      </c>
      <c r="F1395" t="s">
        <v>234</v>
      </c>
      <c r="G1395">
        <v>-278768</v>
      </c>
      <c r="H1395" t="s">
        <v>147</v>
      </c>
      <c r="I1395" t="s">
        <v>61</v>
      </c>
    </row>
    <row r="1396" spans="1:9">
      <c r="A1396" s="50">
        <v>45669</v>
      </c>
      <c r="B1396" s="51">
        <v>0.5714467592592593</v>
      </c>
      <c r="C1396" t="s">
        <v>145</v>
      </c>
      <c r="D1396" t="s">
        <v>40</v>
      </c>
      <c r="E1396" t="s">
        <v>47</v>
      </c>
      <c r="F1396" t="s">
        <v>535</v>
      </c>
      <c r="G1396">
        <v>-29790</v>
      </c>
      <c r="H1396" t="s">
        <v>147</v>
      </c>
      <c r="I1396" t="s">
        <v>154</v>
      </c>
    </row>
    <row r="1397" spans="1:9">
      <c r="A1397" s="50">
        <v>45669</v>
      </c>
      <c r="B1397" s="51">
        <v>0.5714467592592593</v>
      </c>
      <c r="C1397" t="s">
        <v>151</v>
      </c>
      <c r="D1397" t="s">
        <v>160</v>
      </c>
      <c r="E1397" t="s">
        <v>47</v>
      </c>
      <c r="F1397" t="s">
        <v>163</v>
      </c>
      <c r="G1397">
        <v>-10000</v>
      </c>
      <c r="H1397" t="s">
        <v>147</v>
      </c>
      <c r="I1397" t="s">
        <v>57</v>
      </c>
    </row>
    <row r="1398" spans="1:9">
      <c r="A1398" s="50">
        <v>45669</v>
      </c>
      <c r="B1398" s="51">
        <v>0.5714467592592593</v>
      </c>
      <c r="C1398" t="s">
        <v>151</v>
      </c>
      <c r="D1398" t="s">
        <v>160</v>
      </c>
      <c r="E1398" t="s">
        <v>47</v>
      </c>
      <c r="F1398" t="s">
        <v>161</v>
      </c>
      <c r="G1398">
        <v>10000</v>
      </c>
      <c r="H1398" t="s">
        <v>147</v>
      </c>
      <c r="I1398" t="s">
        <v>162</v>
      </c>
    </row>
    <row r="1399" spans="1:9">
      <c r="A1399" s="50">
        <v>45669</v>
      </c>
      <c r="B1399" s="51">
        <v>0.5151273148148148</v>
      </c>
      <c r="C1399" t="s">
        <v>145</v>
      </c>
      <c r="D1399" t="s">
        <v>34</v>
      </c>
      <c r="E1399" t="s">
        <v>47</v>
      </c>
      <c r="F1399" t="s">
        <v>146</v>
      </c>
      <c r="G1399">
        <v>-1500</v>
      </c>
      <c r="H1399" t="s">
        <v>147</v>
      </c>
      <c r="I1399" t="s">
        <v>148</v>
      </c>
    </row>
    <row r="1400" spans="1:9">
      <c r="A1400" s="50">
        <v>45669</v>
      </c>
      <c r="B1400" s="51">
        <v>0.4779050925925926</v>
      </c>
      <c r="C1400" t="s">
        <v>151</v>
      </c>
      <c r="D1400" t="s">
        <v>160</v>
      </c>
      <c r="E1400" t="s">
        <v>47</v>
      </c>
      <c r="F1400" t="s">
        <v>7</v>
      </c>
      <c r="G1400">
        <v>100000</v>
      </c>
      <c r="H1400" t="s">
        <v>147</v>
      </c>
      <c r="I1400" t="s">
        <v>57</v>
      </c>
    </row>
    <row r="1401" spans="1:9">
      <c r="A1401" s="50">
        <v>45669</v>
      </c>
      <c r="B1401" s="51">
        <v>0.4779050925925926</v>
      </c>
      <c r="C1401" t="s">
        <v>151</v>
      </c>
      <c r="D1401" t="s">
        <v>160</v>
      </c>
      <c r="E1401" t="s">
        <v>47</v>
      </c>
      <c r="F1401" t="s">
        <v>161</v>
      </c>
      <c r="G1401">
        <v>-100000</v>
      </c>
      <c r="H1401" t="s">
        <v>147</v>
      </c>
      <c r="I1401" t="s">
        <v>162</v>
      </c>
    </row>
    <row r="1402" spans="1:9">
      <c r="A1402" s="50">
        <v>45669</v>
      </c>
      <c r="B1402" s="51">
        <v>0.4777314814814815</v>
      </c>
      <c r="C1402" t="s">
        <v>151</v>
      </c>
      <c r="D1402" t="s">
        <v>151</v>
      </c>
      <c r="E1402" t="s">
        <v>47</v>
      </c>
      <c r="F1402" t="s">
        <v>536</v>
      </c>
      <c r="G1402">
        <v>31160</v>
      </c>
      <c r="H1402" t="s">
        <v>147</v>
      </c>
      <c r="I1402" t="s">
        <v>162</v>
      </c>
    </row>
    <row r="1403" spans="1:9">
      <c r="A1403" s="50">
        <v>45669</v>
      </c>
      <c r="B1403" s="51">
        <v>0.4775115740740741</v>
      </c>
      <c r="C1403" t="s">
        <v>145</v>
      </c>
      <c r="D1403" t="s">
        <v>42</v>
      </c>
      <c r="E1403" t="s">
        <v>47</v>
      </c>
      <c r="F1403" t="s">
        <v>158</v>
      </c>
      <c r="G1403">
        <v>-60000</v>
      </c>
      <c r="H1403" t="s">
        <v>147</v>
      </c>
      <c r="I1403" t="s">
        <v>57</v>
      </c>
    </row>
    <row r="1404" spans="1:9">
      <c r="A1404" s="50">
        <v>45669</v>
      </c>
      <c r="B1404" s="51">
        <v>0.4585763888888889</v>
      </c>
      <c r="C1404" t="s">
        <v>145</v>
      </c>
      <c r="D1404" t="s">
        <v>34</v>
      </c>
      <c r="E1404" t="s">
        <v>47</v>
      </c>
      <c r="F1404" t="s">
        <v>146</v>
      </c>
      <c r="G1404">
        <v>-1600</v>
      </c>
      <c r="H1404" t="s">
        <v>147</v>
      </c>
      <c r="I1404" t="s">
        <v>148</v>
      </c>
    </row>
    <row r="1405" spans="1:9">
      <c r="A1405" s="50">
        <v>45669</v>
      </c>
      <c r="B1405" s="51">
        <v>0.4238310185185185</v>
      </c>
      <c r="C1405" t="s">
        <v>151</v>
      </c>
      <c r="D1405" t="s">
        <v>151</v>
      </c>
      <c r="E1405" t="s">
        <v>47</v>
      </c>
      <c r="F1405" t="s">
        <v>537</v>
      </c>
      <c r="G1405">
        <v>31160</v>
      </c>
      <c r="H1405" t="s">
        <v>147</v>
      </c>
      <c r="I1405" t="s">
        <v>162</v>
      </c>
    </row>
    <row r="1406" spans="1:9">
      <c r="A1406" s="50">
        <v>45669</v>
      </c>
      <c r="B1406" s="51">
        <v>0.4237615740740741</v>
      </c>
      <c r="C1406" t="s">
        <v>151</v>
      </c>
      <c r="D1406" t="s">
        <v>151</v>
      </c>
      <c r="E1406" t="s">
        <v>47</v>
      </c>
      <c r="F1406" t="s">
        <v>396</v>
      </c>
      <c r="G1406">
        <v>36160</v>
      </c>
      <c r="H1406" t="s">
        <v>147</v>
      </c>
      <c r="I1406" t="s">
        <v>162</v>
      </c>
    </row>
    <row r="1407" spans="1:9">
      <c r="A1407" s="50">
        <v>45669</v>
      </c>
      <c r="B1407" s="51">
        <v>0.4236921296296297</v>
      </c>
      <c r="C1407" t="s">
        <v>151</v>
      </c>
      <c r="D1407" t="s">
        <v>151</v>
      </c>
      <c r="E1407" t="s">
        <v>47</v>
      </c>
      <c r="F1407" t="s">
        <v>538</v>
      </c>
      <c r="G1407">
        <v>31160</v>
      </c>
      <c r="H1407" t="s">
        <v>147</v>
      </c>
      <c r="I1407" t="s">
        <v>162</v>
      </c>
    </row>
    <row r="1408" spans="1:9">
      <c r="A1408" s="50">
        <v>45668</v>
      </c>
      <c r="B1408" s="51">
        <v>0.7034722222222223</v>
      </c>
      <c r="C1408" t="s">
        <v>145</v>
      </c>
      <c r="D1408" t="s">
        <v>34</v>
      </c>
      <c r="E1408" t="s">
        <v>47</v>
      </c>
      <c r="F1408" t="s">
        <v>244</v>
      </c>
      <c r="G1408">
        <v>-1500</v>
      </c>
      <c r="H1408" t="s">
        <v>147</v>
      </c>
      <c r="I1408" t="s">
        <v>148</v>
      </c>
    </row>
    <row r="1409" spans="1:9">
      <c r="A1409" s="50">
        <v>45668</v>
      </c>
      <c r="B1409" s="51">
        <v>0.6931828703703704</v>
      </c>
      <c r="C1409" t="s">
        <v>145</v>
      </c>
      <c r="D1409" t="s">
        <v>35</v>
      </c>
      <c r="E1409" t="s">
        <v>204</v>
      </c>
      <c r="F1409" t="s">
        <v>539</v>
      </c>
      <c r="G1409">
        <v>-10000</v>
      </c>
      <c r="H1409" t="s">
        <v>147</v>
      </c>
      <c r="I1409" t="s">
        <v>148</v>
      </c>
    </row>
    <row r="1410" spans="1:9">
      <c r="A1410" s="50">
        <v>45668</v>
      </c>
      <c r="B1410" s="51">
        <v>0.6313541666666667</v>
      </c>
      <c r="C1410" t="s">
        <v>145</v>
      </c>
      <c r="D1410" t="s">
        <v>35</v>
      </c>
      <c r="E1410" t="s">
        <v>204</v>
      </c>
      <c r="F1410" t="s">
        <v>539</v>
      </c>
      <c r="G1410">
        <v>-21300</v>
      </c>
      <c r="H1410" t="s">
        <v>147</v>
      </c>
      <c r="I1410" t="s">
        <v>148</v>
      </c>
    </row>
    <row r="1411" spans="1:9">
      <c r="A1411" s="50">
        <v>45668</v>
      </c>
      <c r="B1411" s="51">
        <v>0.6047569444444445</v>
      </c>
      <c r="C1411" t="s">
        <v>145</v>
      </c>
      <c r="D1411" t="s">
        <v>40</v>
      </c>
      <c r="E1411" t="s">
        <v>47</v>
      </c>
      <c r="F1411" t="s">
        <v>540</v>
      </c>
      <c r="G1411">
        <v>-134500</v>
      </c>
      <c r="H1411" t="s">
        <v>147</v>
      </c>
      <c r="I1411" t="s">
        <v>148</v>
      </c>
    </row>
    <row r="1412" spans="1:9">
      <c r="A1412" s="50">
        <v>45668</v>
      </c>
      <c r="B1412" s="51">
        <v>0.4956134259259259</v>
      </c>
      <c r="C1412" t="s">
        <v>145</v>
      </c>
      <c r="D1412" t="s">
        <v>40</v>
      </c>
      <c r="E1412" t="s">
        <v>47</v>
      </c>
      <c r="F1412" t="s">
        <v>541</v>
      </c>
      <c r="G1412">
        <v>-201300</v>
      </c>
      <c r="H1412" t="s">
        <v>147</v>
      </c>
      <c r="I1412" t="s">
        <v>57</v>
      </c>
    </row>
    <row r="1413" spans="1:9">
      <c r="A1413" s="50">
        <v>45668</v>
      </c>
      <c r="B1413" s="51">
        <v>0.2890509259259259</v>
      </c>
      <c r="C1413" t="s">
        <v>145</v>
      </c>
      <c r="D1413" t="s">
        <v>34</v>
      </c>
      <c r="E1413" t="s">
        <v>47</v>
      </c>
      <c r="F1413" t="s">
        <v>146</v>
      </c>
      <c r="G1413">
        <v>-1700</v>
      </c>
      <c r="H1413" t="s">
        <v>147</v>
      </c>
      <c r="I1413" t="s">
        <v>148</v>
      </c>
    </row>
    <row r="1414" spans="1:9">
      <c r="A1414" s="50">
        <v>45667</v>
      </c>
      <c r="B1414" s="51">
        <v>0.9014004629629629</v>
      </c>
      <c r="C1414" t="s">
        <v>145</v>
      </c>
      <c r="D1414" t="s">
        <v>38</v>
      </c>
      <c r="E1414" t="s">
        <v>47</v>
      </c>
      <c r="F1414" t="s">
        <v>155</v>
      </c>
      <c r="G1414">
        <v>-2670</v>
      </c>
      <c r="H1414" t="s">
        <v>147</v>
      </c>
      <c r="I1414" t="s">
        <v>148</v>
      </c>
    </row>
    <row r="1415" spans="1:9">
      <c r="A1415" s="50">
        <v>45667</v>
      </c>
      <c r="B1415" s="51">
        <v>0.8911921296296297</v>
      </c>
      <c r="C1415" t="s">
        <v>145</v>
      </c>
      <c r="D1415" t="s">
        <v>40</v>
      </c>
      <c r="E1415" t="s">
        <v>47</v>
      </c>
      <c r="F1415" t="s">
        <v>542</v>
      </c>
      <c r="G1415">
        <v>-47900</v>
      </c>
      <c r="H1415" t="s">
        <v>147</v>
      </c>
      <c r="I1415" t="s">
        <v>148</v>
      </c>
    </row>
    <row r="1416" spans="1:9">
      <c r="A1416" s="50">
        <v>45667</v>
      </c>
      <c r="B1416" s="51">
        <v>0.7385416666666667</v>
      </c>
      <c r="C1416" t="s">
        <v>145</v>
      </c>
      <c r="D1416" t="s">
        <v>34</v>
      </c>
      <c r="E1416" t="s">
        <v>47</v>
      </c>
      <c r="F1416" t="s">
        <v>146</v>
      </c>
      <c r="G1416">
        <v>-1700</v>
      </c>
      <c r="H1416" t="s">
        <v>147</v>
      </c>
      <c r="I1416" t="s">
        <v>148</v>
      </c>
    </row>
    <row r="1417" spans="1:9">
      <c r="A1417" s="50">
        <v>45667</v>
      </c>
      <c r="B1417" s="51">
        <v>0.7150694444444444</v>
      </c>
      <c r="C1417" t="s">
        <v>151</v>
      </c>
      <c r="D1417" t="s">
        <v>160</v>
      </c>
      <c r="E1417" t="s">
        <v>47</v>
      </c>
      <c r="F1417" t="s">
        <v>7</v>
      </c>
      <c r="G1417">
        <v>100000</v>
      </c>
      <c r="H1417" t="s">
        <v>147</v>
      </c>
      <c r="I1417" t="s">
        <v>57</v>
      </c>
    </row>
    <row r="1418" spans="1:9">
      <c r="A1418" s="50">
        <v>45667</v>
      </c>
      <c r="B1418" s="51">
        <v>0.7150578703703704</v>
      </c>
      <c r="C1418" t="s">
        <v>151</v>
      </c>
      <c r="D1418" t="s">
        <v>160</v>
      </c>
      <c r="E1418" t="s">
        <v>47</v>
      </c>
      <c r="F1418" t="s">
        <v>161</v>
      </c>
      <c r="G1418">
        <v>-100000</v>
      </c>
      <c r="H1418" t="s">
        <v>147</v>
      </c>
      <c r="I1418" t="s">
        <v>162</v>
      </c>
    </row>
    <row r="1419" spans="1:9">
      <c r="A1419" s="50">
        <v>45667</v>
      </c>
      <c r="B1419" s="51">
        <v>0.7147337962962963</v>
      </c>
      <c r="C1419" t="s">
        <v>151</v>
      </c>
      <c r="D1419" t="s">
        <v>151</v>
      </c>
      <c r="E1419" t="s">
        <v>47</v>
      </c>
      <c r="F1419" t="s">
        <v>264</v>
      </c>
      <c r="G1419">
        <v>100000</v>
      </c>
      <c r="H1419" t="s">
        <v>147</v>
      </c>
      <c r="I1419" t="s">
        <v>162</v>
      </c>
    </row>
    <row r="1420" spans="1:9">
      <c r="A1420" s="50">
        <v>45667</v>
      </c>
      <c r="B1420" s="51">
        <v>0.4026851851851852</v>
      </c>
      <c r="C1420" t="s">
        <v>151</v>
      </c>
      <c r="D1420" t="s">
        <v>160</v>
      </c>
      <c r="E1420" t="s">
        <v>47</v>
      </c>
      <c r="F1420" t="s">
        <v>7</v>
      </c>
      <c r="G1420">
        <v>50000</v>
      </c>
      <c r="H1420" t="s">
        <v>147</v>
      </c>
      <c r="I1420" t="s">
        <v>61</v>
      </c>
    </row>
    <row r="1421" spans="1:9">
      <c r="A1421" s="50">
        <v>45667</v>
      </c>
      <c r="B1421" s="51">
        <v>0.4026851851851852</v>
      </c>
      <c r="C1421" t="s">
        <v>151</v>
      </c>
      <c r="D1421" t="s">
        <v>160</v>
      </c>
      <c r="E1421" t="s">
        <v>47</v>
      </c>
      <c r="F1421" t="s">
        <v>7</v>
      </c>
      <c r="G1421">
        <v>-50000</v>
      </c>
      <c r="H1421" t="s">
        <v>147</v>
      </c>
      <c r="I1421" t="s">
        <v>57</v>
      </c>
    </row>
    <row r="1422" spans="1:9">
      <c r="A1422" s="50">
        <v>45667</v>
      </c>
      <c r="B1422" s="51">
        <v>0.391099537037037</v>
      </c>
      <c r="C1422" t="s">
        <v>151</v>
      </c>
      <c r="D1422" t="s">
        <v>160</v>
      </c>
      <c r="E1422" t="s">
        <v>47</v>
      </c>
      <c r="F1422" t="s">
        <v>7</v>
      </c>
      <c r="G1422">
        <v>-1000000</v>
      </c>
      <c r="H1422" t="s">
        <v>147</v>
      </c>
      <c r="I1422" t="s">
        <v>57</v>
      </c>
    </row>
    <row r="1423" spans="1:9">
      <c r="A1423" s="50">
        <v>45667</v>
      </c>
      <c r="B1423" s="51">
        <v>0.391099537037037</v>
      </c>
      <c r="C1423" t="s">
        <v>151</v>
      </c>
      <c r="D1423" t="s">
        <v>160</v>
      </c>
      <c r="E1423" t="s">
        <v>47</v>
      </c>
      <c r="F1423" t="s">
        <v>7</v>
      </c>
      <c r="G1423">
        <v>1000000</v>
      </c>
      <c r="H1423" t="s">
        <v>147</v>
      </c>
      <c r="I1423" t="s">
        <v>61</v>
      </c>
    </row>
    <row r="1424" spans="1:9">
      <c r="A1424" s="50">
        <v>45667</v>
      </c>
      <c r="B1424" s="51">
        <v>0.3838657407407408</v>
      </c>
      <c r="C1424" t="s">
        <v>145</v>
      </c>
      <c r="D1424" t="s">
        <v>42</v>
      </c>
      <c r="E1424" t="s">
        <v>47</v>
      </c>
      <c r="F1424" t="s">
        <v>229</v>
      </c>
      <c r="G1424">
        <v>-100000</v>
      </c>
      <c r="H1424" t="s">
        <v>147</v>
      </c>
      <c r="I1424" t="s">
        <v>57</v>
      </c>
    </row>
    <row r="1425" spans="1:9">
      <c r="A1425" s="50">
        <v>45667</v>
      </c>
      <c r="B1425" s="51">
        <v>0.3593287037037037</v>
      </c>
      <c r="C1425" t="s">
        <v>151</v>
      </c>
      <c r="D1425" t="s">
        <v>198</v>
      </c>
      <c r="E1425" t="s">
        <v>47</v>
      </c>
      <c r="F1425" t="s">
        <v>213</v>
      </c>
      <c r="G1425">
        <v>1893930</v>
      </c>
      <c r="H1425" t="s">
        <v>147</v>
      </c>
      <c r="I1425" t="s">
        <v>57</v>
      </c>
    </row>
    <row r="1426" spans="1:9">
      <c r="A1426" s="50">
        <v>45667</v>
      </c>
      <c r="B1426" s="51">
        <v>0.2883449074074074</v>
      </c>
      <c r="C1426" t="s">
        <v>145</v>
      </c>
      <c r="D1426" t="s">
        <v>34</v>
      </c>
      <c r="E1426" t="s">
        <v>47</v>
      </c>
      <c r="F1426" t="s">
        <v>146</v>
      </c>
      <c r="G1426">
        <v>-1700</v>
      </c>
      <c r="H1426" t="s">
        <v>147</v>
      </c>
      <c r="I1426" t="s">
        <v>148</v>
      </c>
    </row>
    <row r="1427" spans="1:9">
      <c r="A1427" s="50">
        <v>45666</v>
      </c>
      <c r="B1427" s="51">
        <v>0.8503935185185185</v>
      </c>
      <c r="C1427" t="s">
        <v>145</v>
      </c>
      <c r="D1427" t="s">
        <v>34</v>
      </c>
      <c r="E1427" t="s">
        <v>47</v>
      </c>
      <c r="F1427" t="s">
        <v>146</v>
      </c>
      <c r="G1427">
        <v>-1700</v>
      </c>
      <c r="H1427" t="s">
        <v>147</v>
      </c>
      <c r="I1427" t="s">
        <v>148</v>
      </c>
    </row>
    <row r="1428" spans="1:9">
      <c r="A1428" s="50">
        <v>45666</v>
      </c>
      <c r="B1428" s="51">
        <v>0.7247800925925926</v>
      </c>
      <c r="C1428" t="s">
        <v>145</v>
      </c>
      <c r="D1428" t="s">
        <v>42</v>
      </c>
      <c r="E1428" t="s">
        <v>47</v>
      </c>
      <c r="F1428" t="s">
        <v>153</v>
      </c>
      <c r="G1428">
        <v>-47430</v>
      </c>
      <c r="H1428" t="s">
        <v>147</v>
      </c>
      <c r="I1428" t="s">
        <v>154</v>
      </c>
    </row>
    <row r="1429" spans="1:9">
      <c r="A1429" s="50">
        <v>45666</v>
      </c>
      <c r="B1429" s="51">
        <v>0.7247800925925926</v>
      </c>
      <c r="C1429" t="s">
        <v>151</v>
      </c>
      <c r="D1429" t="s">
        <v>160</v>
      </c>
      <c r="E1429" t="s">
        <v>47</v>
      </c>
      <c r="F1429" t="s">
        <v>163</v>
      </c>
      <c r="G1429">
        <v>-42498</v>
      </c>
      <c r="H1429" t="s">
        <v>147</v>
      </c>
      <c r="I1429" t="s">
        <v>57</v>
      </c>
    </row>
    <row r="1430" spans="1:9">
      <c r="A1430" s="50">
        <v>45666</v>
      </c>
      <c r="B1430" s="51">
        <v>0.7247800925925926</v>
      </c>
      <c r="C1430" t="s">
        <v>151</v>
      </c>
      <c r="D1430" t="s">
        <v>160</v>
      </c>
      <c r="E1430" t="s">
        <v>47</v>
      </c>
      <c r="F1430" t="s">
        <v>161</v>
      </c>
      <c r="G1430">
        <v>42498</v>
      </c>
      <c r="H1430" t="s">
        <v>147</v>
      </c>
      <c r="I1430" t="s">
        <v>162</v>
      </c>
    </row>
    <row r="1431" spans="1:9">
      <c r="A1431" s="50">
        <v>45666</v>
      </c>
      <c r="B1431" s="51">
        <v>0.6470601851851852</v>
      </c>
      <c r="C1431" t="s">
        <v>145</v>
      </c>
      <c r="D1431" t="s">
        <v>38</v>
      </c>
      <c r="E1431" t="s">
        <v>47</v>
      </c>
      <c r="F1431" t="s">
        <v>489</v>
      </c>
      <c r="G1431">
        <v>-6300</v>
      </c>
      <c r="H1431" t="s">
        <v>147</v>
      </c>
      <c r="I1431" t="s">
        <v>148</v>
      </c>
    </row>
    <row r="1432" spans="1:9">
      <c r="A1432" s="50">
        <v>45666</v>
      </c>
      <c r="B1432" s="51">
        <v>0.2870833333333334</v>
      </c>
      <c r="C1432" t="s">
        <v>145</v>
      </c>
      <c r="D1432" t="s">
        <v>34</v>
      </c>
      <c r="E1432" t="s">
        <v>47</v>
      </c>
      <c r="F1432" t="s">
        <v>146</v>
      </c>
      <c r="G1432">
        <v>-1700</v>
      </c>
      <c r="H1432" t="s">
        <v>147</v>
      </c>
      <c r="I1432" t="s">
        <v>148</v>
      </c>
    </row>
    <row r="1433" spans="1:9">
      <c r="A1433" s="50">
        <v>45665</v>
      </c>
      <c r="B1433" s="51">
        <v>0.7375231481481481</v>
      </c>
      <c r="C1433" t="s">
        <v>145</v>
      </c>
      <c r="D1433" t="s">
        <v>34</v>
      </c>
      <c r="E1433" t="s">
        <v>47</v>
      </c>
      <c r="F1433" t="s">
        <v>146</v>
      </c>
      <c r="G1433">
        <v>-1700</v>
      </c>
      <c r="H1433" t="s">
        <v>147</v>
      </c>
      <c r="I1433" t="s">
        <v>148</v>
      </c>
    </row>
    <row r="1434" spans="1:9">
      <c r="A1434" s="50">
        <v>45665</v>
      </c>
      <c r="B1434" s="51">
        <v>0.6356828703703704</v>
      </c>
      <c r="C1434" t="s">
        <v>151</v>
      </c>
      <c r="D1434" t="s">
        <v>47</v>
      </c>
      <c r="E1434" t="s">
        <v>47</v>
      </c>
      <c r="F1434" t="s">
        <v>543</v>
      </c>
      <c r="G1434">
        <v>104000</v>
      </c>
      <c r="H1434" t="s">
        <v>147</v>
      </c>
      <c r="I1434" t="s">
        <v>57</v>
      </c>
    </row>
    <row r="1435" spans="1:9">
      <c r="A1435" s="50">
        <v>45665</v>
      </c>
      <c r="B1435" s="51">
        <v>0.2891087962962963</v>
      </c>
      <c r="C1435" t="s">
        <v>145</v>
      </c>
      <c r="D1435" t="s">
        <v>34</v>
      </c>
      <c r="E1435" t="s">
        <v>47</v>
      </c>
      <c r="F1435" t="s">
        <v>146</v>
      </c>
      <c r="G1435">
        <v>-1700</v>
      </c>
      <c r="H1435" t="s">
        <v>147</v>
      </c>
      <c r="I1435" t="s">
        <v>148</v>
      </c>
    </row>
    <row r="1436" spans="1:9">
      <c r="A1436" s="50">
        <v>45664</v>
      </c>
      <c r="B1436" s="51">
        <v>0.9169907407407407</v>
      </c>
      <c r="C1436" t="s">
        <v>151</v>
      </c>
      <c r="D1436" t="s">
        <v>236</v>
      </c>
      <c r="E1436" t="s">
        <v>47</v>
      </c>
      <c r="F1436" t="s">
        <v>237</v>
      </c>
      <c r="G1436">
        <v>-40056</v>
      </c>
      <c r="H1436" t="s">
        <v>147</v>
      </c>
      <c r="I1436" t="s">
        <v>57</v>
      </c>
    </row>
    <row r="1437" spans="1:9">
      <c r="A1437" s="50">
        <v>45664</v>
      </c>
      <c r="B1437" s="51">
        <v>0.9032638888888889</v>
      </c>
      <c r="C1437" t="s">
        <v>145</v>
      </c>
      <c r="D1437" t="s">
        <v>42</v>
      </c>
      <c r="E1437" t="s">
        <v>47</v>
      </c>
      <c r="F1437" t="s">
        <v>153</v>
      </c>
      <c r="G1437">
        <v>-32000</v>
      </c>
      <c r="H1437" t="s">
        <v>147</v>
      </c>
      <c r="I1437" t="s">
        <v>154</v>
      </c>
    </row>
    <row r="1438" spans="1:9">
      <c r="A1438" s="50">
        <v>45664</v>
      </c>
      <c r="B1438" s="51">
        <v>0.9019212962962962</v>
      </c>
      <c r="C1438" t="s">
        <v>151</v>
      </c>
      <c r="D1438" t="s">
        <v>160</v>
      </c>
      <c r="E1438" t="s">
        <v>47</v>
      </c>
      <c r="F1438" t="s">
        <v>7</v>
      </c>
      <c r="G1438">
        <v>-50000</v>
      </c>
      <c r="H1438" t="s">
        <v>147</v>
      </c>
      <c r="I1438" t="s">
        <v>61</v>
      </c>
    </row>
    <row r="1439" spans="1:9">
      <c r="A1439" s="50">
        <v>45664</v>
      </c>
      <c r="B1439" s="51">
        <v>0.9019212962962962</v>
      </c>
      <c r="C1439" t="s">
        <v>151</v>
      </c>
      <c r="D1439" t="s">
        <v>160</v>
      </c>
      <c r="E1439" t="s">
        <v>47</v>
      </c>
      <c r="F1439" t="s">
        <v>7</v>
      </c>
      <c r="G1439">
        <v>50000</v>
      </c>
      <c r="H1439" t="s">
        <v>147</v>
      </c>
      <c r="I1439" t="s">
        <v>57</v>
      </c>
    </row>
    <row r="1440" spans="1:9">
      <c r="A1440" s="50">
        <v>45664</v>
      </c>
      <c r="B1440" s="51">
        <v>0.7605092592592593</v>
      </c>
      <c r="C1440" t="s">
        <v>151</v>
      </c>
      <c r="D1440" t="s">
        <v>236</v>
      </c>
      <c r="E1440" t="s">
        <v>47</v>
      </c>
      <c r="F1440" t="s">
        <v>237</v>
      </c>
      <c r="G1440">
        <v>-12044</v>
      </c>
      <c r="H1440" t="s">
        <v>147</v>
      </c>
      <c r="I1440" t="s">
        <v>57</v>
      </c>
    </row>
    <row r="1441" spans="1:9">
      <c r="A1441" s="50">
        <v>45664</v>
      </c>
      <c r="B1441" s="51">
        <v>0.2891087962962963</v>
      </c>
      <c r="C1441" t="s">
        <v>145</v>
      </c>
      <c r="D1441" t="s">
        <v>34</v>
      </c>
      <c r="E1441" t="s">
        <v>47</v>
      </c>
      <c r="F1441" t="s">
        <v>146</v>
      </c>
      <c r="G1441">
        <v>-1700</v>
      </c>
      <c r="H1441" t="s">
        <v>147</v>
      </c>
      <c r="I1441" t="s">
        <v>148</v>
      </c>
    </row>
    <row r="1442" spans="1:9">
      <c r="A1442" s="50">
        <v>45663</v>
      </c>
      <c r="B1442" s="51">
        <v>0.830300925925926</v>
      </c>
      <c r="C1442" t="s">
        <v>145</v>
      </c>
      <c r="D1442" t="s">
        <v>38</v>
      </c>
      <c r="E1442" t="s">
        <v>47</v>
      </c>
      <c r="F1442" t="s">
        <v>544</v>
      </c>
      <c r="G1442">
        <v>-8000</v>
      </c>
      <c r="H1442" t="s">
        <v>147</v>
      </c>
      <c r="I1442" t="s">
        <v>148</v>
      </c>
    </row>
    <row r="1443" spans="1:9">
      <c r="A1443" s="50">
        <v>45663</v>
      </c>
      <c r="B1443" s="51">
        <v>0.5148611111111111</v>
      </c>
      <c r="C1443" t="s">
        <v>151</v>
      </c>
      <c r="D1443" t="s">
        <v>151</v>
      </c>
      <c r="E1443" t="s">
        <v>47</v>
      </c>
      <c r="F1443" t="s">
        <v>505</v>
      </c>
      <c r="G1443">
        <v>-10000</v>
      </c>
      <c r="H1443" t="s">
        <v>147</v>
      </c>
      <c r="I1443" t="s">
        <v>57</v>
      </c>
    </row>
    <row r="1444" spans="1:9">
      <c r="A1444" s="50">
        <v>45662</v>
      </c>
      <c r="B1444" s="51">
        <v>0.763287037037037</v>
      </c>
      <c r="C1444" t="s">
        <v>145</v>
      </c>
      <c r="D1444" t="s">
        <v>34</v>
      </c>
      <c r="E1444" t="s">
        <v>47</v>
      </c>
      <c r="F1444" t="s">
        <v>244</v>
      </c>
      <c r="G1444">
        <v>-200</v>
      </c>
      <c r="H1444" t="s">
        <v>147</v>
      </c>
      <c r="I1444" t="s">
        <v>148</v>
      </c>
    </row>
    <row r="1445" spans="1:9">
      <c r="A1445" s="50">
        <v>45662</v>
      </c>
      <c r="B1445" s="51">
        <v>0.7593518518518518</v>
      </c>
      <c r="C1445" t="s">
        <v>151</v>
      </c>
      <c r="D1445" t="s">
        <v>151</v>
      </c>
      <c r="E1445" t="s">
        <v>47</v>
      </c>
      <c r="F1445" t="s">
        <v>545</v>
      </c>
      <c r="G1445">
        <v>36932</v>
      </c>
      <c r="H1445" t="s">
        <v>147</v>
      </c>
      <c r="I1445" t="s">
        <v>162</v>
      </c>
    </row>
    <row r="1446" spans="1:9">
      <c r="A1446" s="50">
        <v>45662</v>
      </c>
      <c r="B1446" s="51">
        <v>0.7287152777777778</v>
      </c>
      <c r="C1446" t="s">
        <v>145</v>
      </c>
      <c r="D1446" t="s">
        <v>34</v>
      </c>
      <c r="E1446" t="s">
        <v>47</v>
      </c>
      <c r="F1446" t="s">
        <v>146</v>
      </c>
      <c r="G1446">
        <v>-1500</v>
      </c>
      <c r="H1446" t="s">
        <v>147</v>
      </c>
      <c r="I1446" t="s">
        <v>148</v>
      </c>
    </row>
    <row r="1447" spans="1:9">
      <c r="A1447" s="50">
        <v>45662</v>
      </c>
      <c r="B1447" s="51">
        <v>0.6932638888888889</v>
      </c>
      <c r="C1447" t="s">
        <v>145</v>
      </c>
      <c r="D1447" t="s">
        <v>42</v>
      </c>
      <c r="E1447" t="s">
        <v>47</v>
      </c>
      <c r="F1447" t="s">
        <v>159</v>
      </c>
      <c r="G1447">
        <v>-55930</v>
      </c>
      <c r="H1447" t="s">
        <v>147</v>
      </c>
      <c r="I1447" t="s">
        <v>148</v>
      </c>
    </row>
    <row r="1448" spans="1:9">
      <c r="A1448" s="50">
        <v>45662</v>
      </c>
      <c r="B1448" s="51">
        <v>0.6926157407407407</v>
      </c>
      <c r="C1448" t="s">
        <v>151</v>
      </c>
      <c r="D1448" t="s">
        <v>160</v>
      </c>
      <c r="E1448" t="s">
        <v>47</v>
      </c>
      <c r="F1448" t="s">
        <v>7</v>
      </c>
      <c r="G1448">
        <v>36934</v>
      </c>
      <c r="H1448" t="s">
        <v>147</v>
      </c>
      <c r="I1448" t="s">
        <v>57</v>
      </c>
    </row>
    <row r="1449" spans="1:9">
      <c r="A1449" s="50">
        <v>45662</v>
      </c>
      <c r="B1449" s="51">
        <v>0.6926157407407407</v>
      </c>
      <c r="C1449" t="s">
        <v>151</v>
      </c>
      <c r="D1449" t="s">
        <v>160</v>
      </c>
      <c r="E1449" t="s">
        <v>47</v>
      </c>
      <c r="F1449" t="s">
        <v>161</v>
      </c>
      <c r="G1449">
        <v>-36934</v>
      </c>
      <c r="H1449" t="s">
        <v>147</v>
      </c>
      <c r="I1449" t="s">
        <v>162</v>
      </c>
    </row>
    <row r="1450" spans="1:9">
      <c r="A1450" s="50">
        <v>45662</v>
      </c>
      <c r="B1450" s="51">
        <v>0.6924074074074074</v>
      </c>
      <c r="C1450" t="s">
        <v>151</v>
      </c>
      <c r="D1450" t="s">
        <v>151</v>
      </c>
      <c r="E1450" t="s">
        <v>47</v>
      </c>
      <c r="F1450" t="s">
        <v>533</v>
      </c>
      <c r="G1450">
        <v>36932</v>
      </c>
      <c r="H1450" t="s">
        <v>147</v>
      </c>
      <c r="I1450" t="s">
        <v>162</v>
      </c>
    </row>
    <row r="1451" spans="1:9">
      <c r="A1451" s="50">
        <v>45662</v>
      </c>
      <c r="B1451" s="51">
        <v>0.6918171296296296</v>
      </c>
      <c r="C1451" t="s">
        <v>149</v>
      </c>
      <c r="D1451" t="s">
        <v>29</v>
      </c>
      <c r="E1451" t="s">
        <v>47</v>
      </c>
      <c r="F1451" t="s">
        <v>478</v>
      </c>
      <c r="G1451">
        <v>2</v>
      </c>
      <c r="H1451" t="s">
        <v>147</v>
      </c>
      <c r="I1451" t="s">
        <v>162</v>
      </c>
    </row>
    <row r="1452" spans="1:9">
      <c r="A1452" s="50">
        <v>45662</v>
      </c>
      <c r="B1452" s="51">
        <v>0.2373148148148148</v>
      </c>
      <c r="C1452" t="s">
        <v>145</v>
      </c>
      <c r="D1452" t="s">
        <v>47</v>
      </c>
      <c r="E1452" t="s">
        <v>47</v>
      </c>
      <c r="F1452" t="s">
        <v>546</v>
      </c>
      <c r="G1452">
        <v>-2800</v>
      </c>
      <c r="H1452" t="s">
        <v>147</v>
      </c>
      <c r="I1452" t="s">
        <v>165</v>
      </c>
    </row>
    <row r="1453" spans="1:9">
      <c r="A1453" s="50">
        <v>45662</v>
      </c>
      <c r="B1453" s="51">
        <v>0.2373148148148148</v>
      </c>
      <c r="C1453" t="s">
        <v>145</v>
      </c>
      <c r="D1453" t="s">
        <v>34</v>
      </c>
      <c r="E1453" t="s">
        <v>47</v>
      </c>
      <c r="F1453" t="s">
        <v>547</v>
      </c>
      <c r="G1453">
        <v>-3200</v>
      </c>
      <c r="H1453" t="s">
        <v>147</v>
      </c>
      <c r="I1453" t="s">
        <v>165</v>
      </c>
    </row>
    <row r="1454" spans="1:9">
      <c r="A1454" s="50">
        <v>45661</v>
      </c>
      <c r="B1454" s="51">
        <v>0.7380671296296296</v>
      </c>
      <c r="C1454" t="s">
        <v>145</v>
      </c>
      <c r="D1454" t="s">
        <v>34</v>
      </c>
      <c r="E1454" t="s">
        <v>47</v>
      </c>
      <c r="F1454" t="s">
        <v>146</v>
      </c>
      <c r="G1454">
        <v>-1700</v>
      </c>
      <c r="H1454" t="s">
        <v>147</v>
      </c>
      <c r="I1454" t="s">
        <v>148</v>
      </c>
    </row>
    <row r="1455" spans="1:9">
      <c r="A1455" s="50">
        <v>45661</v>
      </c>
      <c r="B1455" s="51">
        <v>0.7172222222222222</v>
      </c>
      <c r="C1455" t="s">
        <v>145</v>
      </c>
      <c r="D1455" t="s">
        <v>35</v>
      </c>
      <c r="E1455" t="s">
        <v>204</v>
      </c>
      <c r="F1455" t="s">
        <v>548</v>
      </c>
      <c r="G1455">
        <v>-10000</v>
      </c>
      <c r="H1455" t="s">
        <v>147</v>
      </c>
      <c r="I1455" t="s">
        <v>148</v>
      </c>
    </row>
    <row r="1456" spans="1:9">
      <c r="A1456" s="50">
        <v>45661</v>
      </c>
      <c r="B1456" s="51">
        <v>0.6137962962962963</v>
      </c>
      <c r="C1456" t="s">
        <v>145</v>
      </c>
      <c r="D1456" t="s">
        <v>45</v>
      </c>
      <c r="E1456" t="s">
        <v>47</v>
      </c>
      <c r="F1456" t="s">
        <v>549</v>
      </c>
      <c r="G1456">
        <v>-23800</v>
      </c>
      <c r="H1456" t="s">
        <v>147</v>
      </c>
      <c r="I1456" t="s">
        <v>148</v>
      </c>
    </row>
    <row r="1457" spans="1:9">
      <c r="A1457" s="50">
        <v>45661</v>
      </c>
      <c r="B1457" s="51">
        <v>0.6137962962962963</v>
      </c>
      <c r="C1457" t="s">
        <v>145</v>
      </c>
      <c r="D1457" t="s">
        <v>45</v>
      </c>
      <c r="E1457" t="s">
        <v>47</v>
      </c>
      <c r="F1457" t="s">
        <v>549</v>
      </c>
      <c r="G1457">
        <v>-23800</v>
      </c>
      <c r="H1457" t="s">
        <v>147</v>
      </c>
      <c r="I1457" t="s">
        <v>148</v>
      </c>
    </row>
    <row r="1458" spans="1:9">
      <c r="A1458" s="50">
        <v>45661</v>
      </c>
      <c r="B1458" s="51">
        <v>0.6038773148148148</v>
      </c>
      <c r="C1458" t="s">
        <v>145</v>
      </c>
      <c r="D1458" t="s">
        <v>38</v>
      </c>
      <c r="E1458" t="s">
        <v>47</v>
      </c>
      <c r="F1458" t="s">
        <v>550</v>
      </c>
      <c r="G1458">
        <v>-4000</v>
      </c>
      <c r="H1458" t="s">
        <v>147</v>
      </c>
      <c r="I1458" t="s">
        <v>57</v>
      </c>
    </row>
    <row r="1459" spans="1:9">
      <c r="A1459" s="50">
        <v>45661</v>
      </c>
      <c r="B1459" s="51">
        <v>0.6038773148148148</v>
      </c>
      <c r="C1459" t="s">
        <v>151</v>
      </c>
      <c r="D1459" t="s">
        <v>64</v>
      </c>
      <c r="E1459" t="s">
        <v>47</v>
      </c>
      <c r="F1459" t="s">
        <v>413</v>
      </c>
      <c r="G1459">
        <v>20</v>
      </c>
      <c r="H1459" t="s">
        <v>147</v>
      </c>
      <c r="I1459" t="s">
        <v>57</v>
      </c>
    </row>
    <row r="1460" spans="1:9">
      <c r="A1460" s="50">
        <v>45661</v>
      </c>
      <c r="B1460" s="51">
        <v>0.5965972222222222</v>
      </c>
      <c r="C1460" t="s">
        <v>145</v>
      </c>
      <c r="D1460" t="s">
        <v>40</v>
      </c>
      <c r="E1460" t="s">
        <v>47</v>
      </c>
      <c r="F1460" t="s">
        <v>551</v>
      </c>
      <c r="G1460">
        <v>-77000</v>
      </c>
      <c r="H1460" t="s">
        <v>147</v>
      </c>
      <c r="I1460" t="s">
        <v>148</v>
      </c>
    </row>
    <row r="1461" spans="1:9">
      <c r="A1461" s="50">
        <v>45661</v>
      </c>
      <c r="B1461" s="51">
        <v>0.4549884259259259</v>
      </c>
      <c r="C1461" t="s">
        <v>151</v>
      </c>
      <c r="D1461" t="s">
        <v>160</v>
      </c>
      <c r="E1461" t="s">
        <v>47</v>
      </c>
      <c r="F1461" t="s">
        <v>7</v>
      </c>
      <c r="G1461">
        <v>100000</v>
      </c>
      <c r="H1461" t="s">
        <v>147</v>
      </c>
      <c r="I1461" t="s">
        <v>57</v>
      </c>
    </row>
    <row r="1462" spans="1:9">
      <c r="A1462" s="50">
        <v>45661</v>
      </c>
      <c r="B1462" s="51">
        <v>0.4549884259259259</v>
      </c>
      <c r="C1462" t="s">
        <v>151</v>
      </c>
      <c r="D1462" t="s">
        <v>160</v>
      </c>
      <c r="E1462" t="s">
        <v>47</v>
      </c>
      <c r="F1462" t="s">
        <v>7</v>
      </c>
      <c r="G1462">
        <v>-100000</v>
      </c>
      <c r="H1462" t="s">
        <v>147</v>
      </c>
      <c r="I1462" t="s">
        <v>61</v>
      </c>
    </row>
    <row r="1463" spans="1:9">
      <c r="A1463" s="50">
        <v>45661</v>
      </c>
      <c r="B1463" s="51">
        <v>0.2878125</v>
      </c>
      <c r="C1463" t="s">
        <v>145</v>
      </c>
      <c r="D1463" t="s">
        <v>34</v>
      </c>
      <c r="E1463" t="s">
        <v>47</v>
      </c>
      <c r="F1463" t="s">
        <v>146</v>
      </c>
      <c r="G1463">
        <v>-1700</v>
      </c>
      <c r="H1463" t="s">
        <v>147</v>
      </c>
      <c r="I1463" t="s">
        <v>148</v>
      </c>
    </row>
    <row r="1464" spans="1:9">
      <c r="A1464" s="50">
        <v>45660</v>
      </c>
      <c r="B1464" s="51">
        <v>0.7903703703703704</v>
      </c>
      <c r="C1464" t="s">
        <v>145</v>
      </c>
      <c r="D1464" t="s">
        <v>34</v>
      </c>
      <c r="E1464" t="s">
        <v>47</v>
      </c>
      <c r="F1464" t="s">
        <v>146</v>
      </c>
      <c r="G1464">
        <v>-200</v>
      </c>
      <c r="H1464" t="s">
        <v>147</v>
      </c>
      <c r="I1464" t="s">
        <v>148</v>
      </c>
    </row>
    <row r="1465" spans="1:9">
      <c r="A1465" s="50">
        <v>45660</v>
      </c>
      <c r="B1465" s="51">
        <v>0.7743287037037037</v>
      </c>
      <c r="C1465" t="s">
        <v>145</v>
      </c>
      <c r="D1465" t="s">
        <v>34</v>
      </c>
      <c r="E1465" t="s">
        <v>47</v>
      </c>
      <c r="F1465" t="s">
        <v>244</v>
      </c>
      <c r="G1465">
        <v>-1500</v>
      </c>
      <c r="H1465" t="s">
        <v>147</v>
      </c>
      <c r="I1465" t="s">
        <v>148</v>
      </c>
    </row>
    <row r="1466" spans="1:9">
      <c r="A1466" s="50">
        <v>45660</v>
      </c>
      <c r="B1466" s="51">
        <v>0.7385763888888889</v>
      </c>
      <c r="C1466" t="s">
        <v>145</v>
      </c>
      <c r="D1466" t="s">
        <v>34</v>
      </c>
      <c r="E1466" t="s">
        <v>47</v>
      </c>
      <c r="F1466" t="s">
        <v>244</v>
      </c>
      <c r="G1466">
        <v>-1500</v>
      </c>
      <c r="H1466" t="s">
        <v>147</v>
      </c>
      <c r="I1466" t="s">
        <v>148</v>
      </c>
    </row>
    <row r="1467" spans="1:9">
      <c r="A1467" s="50">
        <v>45660</v>
      </c>
      <c r="B1467" s="51">
        <v>0.2890509259259259</v>
      </c>
      <c r="C1467" t="s">
        <v>145</v>
      </c>
      <c r="D1467" t="s">
        <v>34</v>
      </c>
      <c r="E1467" t="s">
        <v>47</v>
      </c>
      <c r="F1467" t="s">
        <v>146</v>
      </c>
      <c r="G1467">
        <v>-1700</v>
      </c>
      <c r="H1467" t="s">
        <v>147</v>
      </c>
      <c r="I1467" t="s">
        <v>148</v>
      </c>
    </row>
    <row r="1468" spans="1:9">
      <c r="A1468" s="50">
        <v>45659</v>
      </c>
      <c r="B1468" s="51">
        <v>0.7795601851851852</v>
      </c>
      <c r="C1468" t="s">
        <v>145</v>
      </c>
      <c r="D1468" t="s">
        <v>42</v>
      </c>
      <c r="E1468" t="s">
        <v>47</v>
      </c>
      <c r="F1468" t="s">
        <v>552</v>
      </c>
      <c r="G1468">
        <v>-8180</v>
      </c>
      <c r="H1468" t="s">
        <v>147</v>
      </c>
      <c r="I1468" t="s">
        <v>57</v>
      </c>
    </row>
    <row r="1469" spans="1:9">
      <c r="A1469" s="50">
        <v>45659</v>
      </c>
      <c r="B1469" s="51">
        <v>0.7505092592592593</v>
      </c>
      <c r="C1469" t="s">
        <v>145</v>
      </c>
      <c r="D1469" t="s">
        <v>37</v>
      </c>
      <c r="E1469" t="s">
        <v>47</v>
      </c>
      <c r="F1469" t="s">
        <v>433</v>
      </c>
      <c r="G1469">
        <v>-33000</v>
      </c>
      <c r="H1469" t="s">
        <v>147</v>
      </c>
      <c r="I1469" t="s">
        <v>148</v>
      </c>
    </row>
    <row r="1470" spans="1:9">
      <c r="A1470" s="50">
        <v>45659</v>
      </c>
      <c r="B1470" s="51">
        <v>0.7449305555555555</v>
      </c>
      <c r="C1470" t="s">
        <v>151</v>
      </c>
      <c r="D1470" t="s">
        <v>160</v>
      </c>
      <c r="E1470" t="s">
        <v>47</v>
      </c>
      <c r="F1470" t="s">
        <v>7</v>
      </c>
      <c r="G1470">
        <v>30000</v>
      </c>
      <c r="H1470" t="s">
        <v>147</v>
      </c>
      <c r="I1470" t="s">
        <v>57</v>
      </c>
    </row>
    <row r="1471" spans="1:9">
      <c r="A1471" s="50">
        <v>45658</v>
      </c>
      <c r="B1471" s="51">
        <v>0.7451041666666667</v>
      </c>
      <c r="C1471" t="s">
        <v>145</v>
      </c>
      <c r="D1471" t="s">
        <v>34</v>
      </c>
      <c r="E1471" t="s">
        <v>47</v>
      </c>
      <c r="F1471" t="s">
        <v>146</v>
      </c>
      <c r="G1471">
        <v>-1700</v>
      </c>
      <c r="H1471" t="s">
        <v>147</v>
      </c>
      <c r="I1471" t="s">
        <v>148</v>
      </c>
    </row>
    <row r="1472" spans="1:9">
      <c r="A1472" s="50">
        <v>45658</v>
      </c>
      <c r="B1472" s="51">
        <v>0.503912037037037</v>
      </c>
      <c r="C1472" t="s">
        <v>145</v>
      </c>
      <c r="D1472" t="s">
        <v>38</v>
      </c>
      <c r="E1472" t="s">
        <v>47</v>
      </c>
      <c r="F1472" t="s">
        <v>218</v>
      </c>
      <c r="G1472">
        <v>-70410</v>
      </c>
      <c r="H1472" t="s">
        <v>147</v>
      </c>
      <c r="I1472" t="s">
        <v>165</v>
      </c>
    </row>
    <row r="1473" spans="1:9">
      <c r="A1473" s="50">
        <v>45658</v>
      </c>
      <c r="B1473" s="51">
        <v>0.4821875</v>
      </c>
      <c r="C1473" t="s">
        <v>151</v>
      </c>
      <c r="D1473" t="s">
        <v>160</v>
      </c>
      <c r="E1473" t="s">
        <v>47</v>
      </c>
      <c r="F1473" t="s">
        <v>7</v>
      </c>
      <c r="G1473">
        <v>-100000</v>
      </c>
      <c r="H1473" t="s">
        <v>147</v>
      </c>
      <c r="I1473" t="s">
        <v>61</v>
      </c>
    </row>
    <row r="1474" spans="1:9">
      <c r="A1474" s="50">
        <v>45658</v>
      </c>
      <c r="B1474" s="51">
        <v>0.2884490740740741</v>
      </c>
      <c r="C1474" t="s">
        <v>145</v>
      </c>
      <c r="D1474" t="s">
        <v>34</v>
      </c>
      <c r="E1474" t="s">
        <v>47</v>
      </c>
      <c r="F1474" t="s">
        <v>146</v>
      </c>
      <c r="G1474">
        <v>-1700</v>
      </c>
      <c r="H1474" t="s">
        <v>147</v>
      </c>
      <c r="I1474" t="s">
        <v>148</v>
      </c>
    </row>
    <row r="1475" spans="1:9">
      <c r="A1475" s="50">
        <v>45657</v>
      </c>
      <c r="B1475" s="51">
        <v>0.8101851851851852</v>
      </c>
      <c r="C1475" t="s">
        <v>145</v>
      </c>
      <c r="D1475" t="s">
        <v>34</v>
      </c>
      <c r="E1475" t="s">
        <v>47</v>
      </c>
      <c r="F1475" t="s">
        <v>146</v>
      </c>
      <c r="G1475">
        <v>-1700</v>
      </c>
      <c r="H1475" t="s">
        <v>147</v>
      </c>
      <c r="I1475" t="s">
        <v>148</v>
      </c>
    </row>
    <row r="1476" spans="1:9">
      <c r="A1476" s="50">
        <v>45657</v>
      </c>
      <c r="B1476" s="51">
        <v>0.8024421296296296</v>
      </c>
      <c r="C1476" t="s">
        <v>145</v>
      </c>
      <c r="D1476" t="s">
        <v>42</v>
      </c>
      <c r="E1476" t="s">
        <v>47</v>
      </c>
      <c r="F1476" t="s">
        <v>216</v>
      </c>
      <c r="G1476">
        <v>-25000</v>
      </c>
      <c r="H1476" t="s">
        <v>147</v>
      </c>
      <c r="I1476" t="s">
        <v>148</v>
      </c>
    </row>
    <row r="1477" spans="1:9">
      <c r="A1477" s="50">
        <v>45657</v>
      </c>
      <c r="B1477" s="51">
        <v>0.8021759259259259</v>
      </c>
      <c r="C1477" t="s">
        <v>151</v>
      </c>
      <c r="D1477" t="s">
        <v>160</v>
      </c>
      <c r="E1477" t="s">
        <v>47</v>
      </c>
      <c r="F1477" t="s">
        <v>7</v>
      </c>
      <c r="G1477">
        <v>100000</v>
      </c>
      <c r="H1477" t="s">
        <v>147</v>
      </c>
      <c r="I1477" t="s">
        <v>57</v>
      </c>
    </row>
    <row r="1478" spans="1:9">
      <c r="A1478" s="50">
        <v>45657</v>
      </c>
      <c r="B1478" s="51">
        <v>0.8021759259259259</v>
      </c>
      <c r="C1478" t="s">
        <v>151</v>
      </c>
      <c r="D1478" t="s">
        <v>160</v>
      </c>
      <c r="E1478" t="s">
        <v>47</v>
      </c>
      <c r="F1478" t="s">
        <v>7</v>
      </c>
      <c r="G1478">
        <v>-100000</v>
      </c>
      <c r="H1478" t="s">
        <v>147</v>
      </c>
      <c r="I1478" t="s">
        <v>61</v>
      </c>
    </row>
    <row r="1479" spans="1:9">
      <c r="A1479" s="50">
        <v>45657</v>
      </c>
      <c r="B1479" s="51">
        <v>0.7853703703703704</v>
      </c>
      <c r="C1479" t="s">
        <v>145</v>
      </c>
      <c r="D1479" t="s">
        <v>42</v>
      </c>
      <c r="E1479" t="s">
        <v>47</v>
      </c>
      <c r="F1479" t="s">
        <v>552</v>
      </c>
      <c r="G1479">
        <v>-85692</v>
      </c>
      <c r="H1479" t="s">
        <v>147</v>
      </c>
      <c r="I1479" t="s">
        <v>57</v>
      </c>
    </row>
    <row r="1480" spans="1:9">
      <c r="A1480" s="50">
        <v>45657</v>
      </c>
      <c r="B1480" s="51">
        <v>0.7783796296296296</v>
      </c>
      <c r="C1480" t="s">
        <v>145</v>
      </c>
      <c r="D1480" t="s">
        <v>35</v>
      </c>
      <c r="E1480" t="s">
        <v>204</v>
      </c>
      <c r="F1480" t="s">
        <v>553</v>
      </c>
      <c r="G1480">
        <v>-40470</v>
      </c>
      <c r="H1480" t="s">
        <v>147</v>
      </c>
      <c r="I1480" t="s">
        <v>57</v>
      </c>
    </row>
    <row r="1481" spans="1:9">
      <c r="A1481" s="50">
        <v>45657</v>
      </c>
      <c r="B1481" s="51">
        <v>0.7783680555555555</v>
      </c>
      <c r="C1481" t="s">
        <v>145</v>
      </c>
      <c r="D1481" t="s">
        <v>35</v>
      </c>
      <c r="E1481" t="s">
        <v>204</v>
      </c>
      <c r="F1481" t="s">
        <v>554</v>
      </c>
      <c r="G1481">
        <v>-15200</v>
      </c>
      <c r="H1481" t="s">
        <v>147</v>
      </c>
      <c r="I1481" t="s">
        <v>57</v>
      </c>
    </row>
    <row r="1482" spans="1:9">
      <c r="A1482" s="50">
        <v>45657</v>
      </c>
      <c r="B1482" s="51">
        <v>0.3265740740740741</v>
      </c>
      <c r="C1482" t="s">
        <v>151</v>
      </c>
      <c r="D1482" t="s">
        <v>151</v>
      </c>
      <c r="E1482" t="s">
        <v>47</v>
      </c>
      <c r="F1482" t="s">
        <v>555</v>
      </c>
      <c r="G1482">
        <v>-50000</v>
      </c>
      <c r="H1482" t="s">
        <v>147</v>
      </c>
      <c r="I1482" t="s">
        <v>57</v>
      </c>
    </row>
    <row r="1483" spans="1:9">
      <c r="A1483" s="50">
        <v>45657</v>
      </c>
      <c r="B1483" s="51">
        <v>0.2874305555555556</v>
      </c>
      <c r="C1483" t="s">
        <v>145</v>
      </c>
      <c r="D1483" t="s">
        <v>34</v>
      </c>
      <c r="E1483" t="s">
        <v>47</v>
      </c>
      <c r="F1483" t="s">
        <v>146</v>
      </c>
      <c r="G1483">
        <v>-1700</v>
      </c>
      <c r="H1483" t="s">
        <v>147</v>
      </c>
      <c r="I1483" t="s">
        <v>148</v>
      </c>
    </row>
    <row r="1484" spans="1:9">
      <c r="A1484" s="50">
        <v>45656</v>
      </c>
      <c r="B1484" s="51">
        <v>0.6020486111111111</v>
      </c>
      <c r="C1484" t="s">
        <v>151</v>
      </c>
      <c r="D1484" t="s">
        <v>160</v>
      </c>
      <c r="E1484" t="s">
        <v>47</v>
      </c>
      <c r="F1484" t="s">
        <v>7</v>
      </c>
      <c r="G1484">
        <v>100000</v>
      </c>
      <c r="H1484" t="s">
        <v>147</v>
      </c>
      <c r="I1484" t="s">
        <v>57</v>
      </c>
    </row>
    <row r="1485" spans="1:9">
      <c r="A1485" s="50">
        <v>45656</v>
      </c>
      <c r="B1485" s="51">
        <v>0.6020486111111111</v>
      </c>
      <c r="C1485" t="s">
        <v>151</v>
      </c>
      <c r="D1485" t="s">
        <v>160</v>
      </c>
      <c r="E1485" t="s">
        <v>47</v>
      </c>
      <c r="F1485" t="s">
        <v>7</v>
      </c>
      <c r="G1485">
        <v>-100000</v>
      </c>
      <c r="H1485" t="s">
        <v>147</v>
      </c>
      <c r="I1485" t="s">
        <v>61</v>
      </c>
    </row>
    <row r="1486" spans="1:9">
      <c r="A1486" s="50">
        <v>45655</v>
      </c>
      <c r="B1486" s="51">
        <v>0.9755208333333333</v>
      </c>
      <c r="C1486" t="s">
        <v>145</v>
      </c>
      <c r="D1486" t="s">
        <v>34</v>
      </c>
      <c r="E1486" t="s">
        <v>47</v>
      </c>
      <c r="F1486" t="s">
        <v>146</v>
      </c>
      <c r="G1486">
        <v>-1600</v>
      </c>
      <c r="H1486" t="s">
        <v>147</v>
      </c>
      <c r="I1486" t="s">
        <v>148</v>
      </c>
    </row>
    <row r="1487" spans="1:9">
      <c r="A1487" s="50">
        <v>45655</v>
      </c>
      <c r="B1487" s="51">
        <v>0.7034027777777778</v>
      </c>
      <c r="C1487" t="s">
        <v>145</v>
      </c>
      <c r="D1487" t="s">
        <v>34</v>
      </c>
      <c r="E1487" t="s">
        <v>47</v>
      </c>
      <c r="F1487" t="s">
        <v>146</v>
      </c>
      <c r="G1487">
        <v>-1600</v>
      </c>
      <c r="H1487" t="s">
        <v>147</v>
      </c>
      <c r="I1487" t="s">
        <v>148</v>
      </c>
    </row>
    <row r="1488" spans="1:9">
      <c r="A1488" s="50">
        <v>45655</v>
      </c>
      <c r="B1488" s="51">
        <v>0.6810995370370371</v>
      </c>
      <c r="C1488" t="s">
        <v>151</v>
      </c>
      <c r="D1488" t="s">
        <v>151</v>
      </c>
      <c r="E1488" t="s">
        <v>47</v>
      </c>
      <c r="F1488" t="s">
        <v>163</v>
      </c>
      <c r="G1488">
        <v>-43160</v>
      </c>
      <c r="H1488" t="s">
        <v>147</v>
      </c>
      <c r="I1488" t="s">
        <v>57</v>
      </c>
    </row>
    <row r="1489" spans="1:9">
      <c r="A1489" s="50">
        <v>45655</v>
      </c>
      <c r="B1489" s="51">
        <v>0.6808333333333333</v>
      </c>
      <c r="C1489" t="s">
        <v>151</v>
      </c>
      <c r="D1489" t="s">
        <v>160</v>
      </c>
      <c r="E1489" t="s">
        <v>47</v>
      </c>
      <c r="F1489" t="s">
        <v>7</v>
      </c>
      <c r="G1489">
        <v>100000</v>
      </c>
      <c r="H1489" t="s">
        <v>147</v>
      </c>
      <c r="I1489" t="s">
        <v>57</v>
      </c>
    </row>
    <row r="1490" spans="1:9">
      <c r="A1490" s="50">
        <v>45655</v>
      </c>
      <c r="B1490" s="51">
        <v>0.6808333333333333</v>
      </c>
      <c r="C1490" t="s">
        <v>151</v>
      </c>
      <c r="D1490" t="s">
        <v>160</v>
      </c>
      <c r="E1490" t="s">
        <v>47</v>
      </c>
      <c r="F1490" t="s">
        <v>7</v>
      </c>
      <c r="G1490">
        <v>-100000</v>
      </c>
      <c r="H1490" t="s">
        <v>147</v>
      </c>
      <c r="I1490" t="s">
        <v>61</v>
      </c>
    </row>
    <row r="1491" spans="1:9">
      <c r="A1491" s="50">
        <v>45655</v>
      </c>
      <c r="B1491" s="51">
        <v>0.6084259259259259</v>
      </c>
      <c r="C1491" t="s">
        <v>151</v>
      </c>
      <c r="D1491" t="s">
        <v>160</v>
      </c>
      <c r="E1491" t="s">
        <v>47</v>
      </c>
      <c r="F1491" t="s">
        <v>7</v>
      </c>
      <c r="G1491">
        <v>-30000</v>
      </c>
      <c r="H1491" t="s">
        <v>147</v>
      </c>
      <c r="I1491" t="s">
        <v>57</v>
      </c>
    </row>
    <row r="1492" spans="1:9">
      <c r="A1492" s="50">
        <v>45655</v>
      </c>
      <c r="B1492" s="51">
        <v>0.3892476851851852</v>
      </c>
      <c r="C1492" t="s">
        <v>145</v>
      </c>
      <c r="D1492" t="s">
        <v>40</v>
      </c>
      <c r="E1492" t="s">
        <v>47</v>
      </c>
      <c r="F1492" t="s">
        <v>228</v>
      </c>
      <c r="G1492">
        <v>-28000</v>
      </c>
      <c r="H1492" t="s">
        <v>147</v>
      </c>
      <c r="I1492" t="s">
        <v>148</v>
      </c>
    </row>
    <row r="1493" spans="1:9">
      <c r="A1493" s="50">
        <v>45654</v>
      </c>
      <c r="B1493" s="51">
        <v>0.9074189814814815</v>
      </c>
      <c r="C1493" t="s">
        <v>145</v>
      </c>
      <c r="D1493" t="s">
        <v>36</v>
      </c>
      <c r="E1493" t="s">
        <v>47</v>
      </c>
      <c r="F1493" t="s">
        <v>556</v>
      </c>
      <c r="G1493">
        <v>-1000</v>
      </c>
      <c r="H1493" t="s">
        <v>147</v>
      </c>
      <c r="I1493" t="s">
        <v>148</v>
      </c>
    </row>
    <row r="1494" spans="1:9">
      <c r="A1494" s="50">
        <v>45654</v>
      </c>
      <c r="B1494" s="51">
        <v>0.9069097222222222</v>
      </c>
      <c r="C1494" t="s">
        <v>145</v>
      </c>
      <c r="D1494" t="s">
        <v>36</v>
      </c>
      <c r="E1494" t="s">
        <v>47</v>
      </c>
      <c r="F1494" t="s">
        <v>556</v>
      </c>
      <c r="G1494">
        <v>-1000</v>
      </c>
      <c r="H1494" t="s">
        <v>147</v>
      </c>
      <c r="I1494" t="s">
        <v>148</v>
      </c>
    </row>
    <row r="1495" spans="1:9">
      <c r="A1495" s="50">
        <v>45654</v>
      </c>
      <c r="B1495" s="51">
        <v>0.905150462962963</v>
      </c>
      <c r="C1495" t="s">
        <v>145</v>
      </c>
      <c r="D1495" t="s">
        <v>36</v>
      </c>
      <c r="E1495" t="s">
        <v>47</v>
      </c>
      <c r="F1495" t="s">
        <v>556</v>
      </c>
      <c r="G1495">
        <v>-1000</v>
      </c>
      <c r="H1495" t="s">
        <v>147</v>
      </c>
      <c r="I1495" t="s">
        <v>148</v>
      </c>
    </row>
    <row r="1496" spans="1:9">
      <c r="A1496" s="50">
        <v>45654</v>
      </c>
      <c r="B1496" s="51">
        <v>0.903449074074074</v>
      </c>
      <c r="C1496" t="s">
        <v>145</v>
      </c>
      <c r="D1496" t="s">
        <v>36</v>
      </c>
      <c r="E1496" t="s">
        <v>47</v>
      </c>
      <c r="F1496" t="s">
        <v>556</v>
      </c>
      <c r="G1496">
        <v>-1000</v>
      </c>
      <c r="H1496" t="s">
        <v>147</v>
      </c>
      <c r="I1496" t="s">
        <v>148</v>
      </c>
    </row>
    <row r="1497" spans="1:9">
      <c r="A1497" s="50">
        <v>45654</v>
      </c>
      <c r="B1497" s="51">
        <v>0.9026851851851851</v>
      </c>
      <c r="C1497" t="s">
        <v>145</v>
      </c>
      <c r="D1497" t="s">
        <v>36</v>
      </c>
      <c r="E1497" t="s">
        <v>47</v>
      </c>
      <c r="F1497" t="s">
        <v>556</v>
      </c>
      <c r="G1497">
        <v>-3000</v>
      </c>
      <c r="H1497" t="s">
        <v>147</v>
      </c>
      <c r="I1497" t="s">
        <v>148</v>
      </c>
    </row>
    <row r="1498" spans="1:9">
      <c r="A1498" s="50">
        <v>45654</v>
      </c>
      <c r="B1498" s="51">
        <v>0.9018402777777778</v>
      </c>
      <c r="C1498" t="s">
        <v>145</v>
      </c>
      <c r="D1498" t="s">
        <v>36</v>
      </c>
      <c r="E1498" t="s">
        <v>47</v>
      </c>
      <c r="F1498" t="s">
        <v>556</v>
      </c>
      <c r="G1498">
        <v>-3000</v>
      </c>
      <c r="H1498" t="s">
        <v>147</v>
      </c>
      <c r="I1498" t="s">
        <v>148</v>
      </c>
    </row>
    <row r="1499" spans="1:9">
      <c r="A1499" s="50">
        <v>45654</v>
      </c>
      <c r="B1499" s="51">
        <v>0.8738078703703703</v>
      </c>
      <c r="C1499" t="s">
        <v>151</v>
      </c>
      <c r="D1499" t="s">
        <v>64</v>
      </c>
      <c r="E1499" t="s">
        <v>47</v>
      </c>
      <c r="F1499" t="s">
        <v>413</v>
      </c>
      <c r="G1499">
        <v>22</v>
      </c>
      <c r="H1499" t="s">
        <v>147</v>
      </c>
      <c r="I1499" t="s">
        <v>57</v>
      </c>
    </row>
    <row r="1500" spans="1:9">
      <c r="A1500" s="50">
        <v>45654</v>
      </c>
      <c r="B1500" s="51">
        <v>0.8738078703703703</v>
      </c>
      <c r="C1500" t="s">
        <v>151</v>
      </c>
      <c r="D1500" t="s">
        <v>151</v>
      </c>
      <c r="E1500" t="s">
        <v>47</v>
      </c>
      <c r="F1500" t="s">
        <v>412</v>
      </c>
      <c r="G1500">
        <v>-4500</v>
      </c>
      <c r="H1500" t="s">
        <v>147</v>
      </c>
      <c r="I1500" t="s">
        <v>57</v>
      </c>
    </row>
    <row r="1501" spans="1:9">
      <c r="A1501" s="50">
        <v>45654</v>
      </c>
      <c r="B1501" s="51">
        <v>0.7593287037037038</v>
      </c>
      <c r="C1501" t="s">
        <v>151</v>
      </c>
      <c r="D1501" t="s">
        <v>160</v>
      </c>
      <c r="E1501" t="s">
        <v>47</v>
      </c>
      <c r="F1501" t="s">
        <v>7</v>
      </c>
      <c r="G1501">
        <v>100000</v>
      </c>
      <c r="H1501" t="s">
        <v>147</v>
      </c>
      <c r="I1501" t="s">
        <v>57</v>
      </c>
    </row>
    <row r="1502" spans="1:9">
      <c r="A1502" s="50">
        <v>45654</v>
      </c>
      <c r="B1502" s="51">
        <v>0.7593287037037038</v>
      </c>
      <c r="C1502" t="s">
        <v>151</v>
      </c>
      <c r="D1502" t="s">
        <v>160</v>
      </c>
      <c r="E1502" t="s">
        <v>47</v>
      </c>
      <c r="F1502" t="s">
        <v>7</v>
      </c>
      <c r="G1502">
        <v>-100000</v>
      </c>
      <c r="H1502" t="s">
        <v>147</v>
      </c>
      <c r="I1502" t="s">
        <v>61</v>
      </c>
    </row>
    <row r="1503" spans="1:9">
      <c r="A1503" s="50">
        <v>45654</v>
      </c>
      <c r="B1503" s="51">
        <v>0.7368287037037037</v>
      </c>
      <c r="C1503" t="s">
        <v>145</v>
      </c>
      <c r="D1503" t="s">
        <v>34</v>
      </c>
      <c r="E1503" t="s">
        <v>47</v>
      </c>
      <c r="F1503" t="s">
        <v>146</v>
      </c>
      <c r="G1503">
        <v>-1700</v>
      </c>
      <c r="H1503" t="s">
        <v>147</v>
      </c>
      <c r="I1503" t="s">
        <v>148</v>
      </c>
    </row>
    <row r="1504" spans="1:9">
      <c r="A1504" s="50">
        <v>45654</v>
      </c>
      <c r="B1504" s="51">
        <v>0.3210532407407408</v>
      </c>
      <c r="C1504" t="s">
        <v>151</v>
      </c>
      <c r="D1504" t="s">
        <v>160</v>
      </c>
      <c r="E1504" t="s">
        <v>47</v>
      </c>
      <c r="F1504" t="s">
        <v>7</v>
      </c>
      <c r="G1504">
        <v>7000</v>
      </c>
      <c r="H1504" t="s">
        <v>147</v>
      </c>
      <c r="I1504" t="s">
        <v>57</v>
      </c>
    </row>
    <row r="1505" spans="1:9">
      <c r="A1505" s="50">
        <v>45654</v>
      </c>
      <c r="B1505" s="51">
        <v>0.3210532407407408</v>
      </c>
      <c r="C1505" t="s">
        <v>151</v>
      </c>
      <c r="D1505" t="s">
        <v>160</v>
      </c>
      <c r="E1505" t="s">
        <v>47</v>
      </c>
      <c r="F1505" t="s">
        <v>7</v>
      </c>
      <c r="G1505">
        <v>-7000</v>
      </c>
      <c r="H1505" t="s">
        <v>147</v>
      </c>
      <c r="I1505" t="s">
        <v>61</v>
      </c>
    </row>
    <row r="1506" spans="1:9">
      <c r="A1506" s="50">
        <v>45654</v>
      </c>
      <c r="B1506" s="51">
        <v>0.2885532407407407</v>
      </c>
      <c r="C1506" t="s">
        <v>145</v>
      </c>
      <c r="D1506" t="s">
        <v>34</v>
      </c>
      <c r="E1506" t="s">
        <v>47</v>
      </c>
      <c r="F1506" t="s">
        <v>146</v>
      </c>
      <c r="G1506">
        <v>-1700</v>
      </c>
      <c r="H1506" t="s">
        <v>147</v>
      </c>
      <c r="I1506" t="s">
        <v>148</v>
      </c>
    </row>
    <row r="1507" spans="1:9">
      <c r="A1507" s="50">
        <v>45653</v>
      </c>
      <c r="B1507" s="51">
        <v>0.7638888888888888</v>
      </c>
      <c r="C1507" t="s">
        <v>145</v>
      </c>
      <c r="D1507" t="s">
        <v>44</v>
      </c>
      <c r="E1507" t="s">
        <v>220</v>
      </c>
      <c r="F1507" t="s">
        <v>221</v>
      </c>
      <c r="G1507">
        <v>-8073</v>
      </c>
      <c r="H1507" t="s">
        <v>147</v>
      </c>
      <c r="I1507" t="s">
        <v>57</v>
      </c>
    </row>
    <row r="1508" spans="1:9">
      <c r="A1508" s="50">
        <v>45653</v>
      </c>
      <c r="B1508" s="51">
        <v>0.7366898148148148</v>
      </c>
      <c r="C1508" t="s">
        <v>145</v>
      </c>
      <c r="D1508" t="s">
        <v>34</v>
      </c>
      <c r="E1508" t="s">
        <v>47</v>
      </c>
      <c r="F1508" t="s">
        <v>146</v>
      </c>
      <c r="G1508">
        <v>-1700</v>
      </c>
      <c r="H1508" t="s">
        <v>147</v>
      </c>
      <c r="I1508" t="s">
        <v>148</v>
      </c>
    </row>
    <row r="1509" spans="1:9">
      <c r="A1509" s="50">
        <v>45653</v>
      </c>
      <c r="B1509" s="51">
        <v>0.2877199074074074</v>
      </c>
      <c r="C1509" t="s">
        <v>145</v>
      </c>
      <c r="D1509" t="s">
        <v>34</v>
      </c>
      <c r="E1509" t="s">
        <v>47</v>
      </c>
      <c r="F1509" t="s">
        <v>146</v>
      </c>
      <c r="G1509">
        <v>-1700</v>
      </c>
      <c r="H1509" t="s">
        <v>147</v>
      </c>
      <c r="I1509" t="s">
        <v>148</v>
      </c>
    </row>
    <row r="1510" spans="1:9">
      <c r="A1510" s="50">
        <v>45652</v>
      </c>
      <c r="B1510" s="51">
        <v>0.8074768518518518</v>
      </c>
      <c r="C1510" t="s">
        <v>145</v>
      </c>
      <c r="D1510" t="s">
        <v>35</v>
      </c>
      <c r="E1510" t="s">
        <v>204</v>
      </c>
      <c r="F1510" t="s">
        <v>557</v>
      </c>
      <c r="G1510">
        <v>-32200</v>
      </c>
      <c r="H1510" t="s">
        <v>147</v>
      </c>
      <c r="I1510" t="s">
        <v>57</v>
      </c>
    </row>
    <row r="1511" spans="1:9">
      <c r="A1511" s="50">
        <v>45652</v>
      </c>
      <c r="B1511" s="51">
        <v>0.8074768518518518</v>
      </c>
      <c r="C1511" t="s">
        <v>145</v>
      </c>
      <c r="D1511" t="s">
        <v>35</v>
      </c>
      <c r="E1511" t="s">
        <v>207</v>
      </c>
      <c r="F1511" t="s">
        <v>208</v>
      </c>
      <c r="G1511">
        <v>-3149</v>
      </c>
      <c r="H1511" t="s">
        <v>147</v>
      </c>
      <c r="I1511" t="s">
        <v>57</v>
      </c>
    </row>
    <row r="1512" spans="1:9">
      <c r="A1512" s="50">
        <v>45652</v>
      </c>
      <c r="B1512" s="51">
        <v>0.7771759259259259</v>
      </c>
      <c r="C1512" t="s">
        <v>151</v>
      </c>
      <c r="D1512" t="s">
        <v>198</v>
      </c>
      <c r="E1512" t="s">
        <v>47</v>
      </c>
      <c r="F1512" t="s">
        <v>211</v>
      </c>
      <c r="G1512">
        <v>-20000</v>
      </c>
      <c r="H1512" t="s">
        <v>147</v>
      </c>
      <c r="I1512" t="s">
        <v>57</v>
      </c>
    </row>
    <row r="1513" spans="1:9">
      <c r="A1513" s="50">
        <v>45652</v>
      </c>
      <c r="B1513" s="51">
        <v>0.7743171296296296</v>
      </c>
      <c r="C1513" t="s">
        <v>145</v>
      </c>
      <c r="D1513" t="s">
        <v>42</v>
      </c>
      <c r="E1513" t="s">
        <v>47</v>
      </c>
      <c r="F1513" t="s">
        <v>558</v>
      </c>
      <c r="G1513">
        <v>-40000</v>
      </c>
      <c r="H1513" t="s">
        <v>147</v>
      </c>
      <c r="I1513" t="s">
        <v>57</v>
      </c>
    </row>
    <row r="1514" spans="1:9">
      <c r="A1514" s="50">
        <v>45652</v>
      </c>
      <c r="B1514" s="51">
        <v>0.7742476851851852</v>
      </c>
      <c r="C1514" t="s">
        <v>145</v>
      </c>
      <c r="D1514" t="s">
        <v>35</v>
      </c>
      <c r="E1514" t="s">
        <v>47</v>
      </c>
      <c r="F1514" t="s">
        <v>202</v>
      </c>
      <c r="G1514">
        <v>-10000</v>
      </c>
      <c r="H1514" t="s">
        <v>147</v>
      </c>
      <c r="I1514" t="s">
        <v>57</v>
      </c>
    </row>
    <row r="1515" spans="1:9">
      <c r="A1515" s="50">
        <v>45652</v>
      </c>
      <c r="B1515" s="51">
        <v>0.6882407407407407</v>
      </c>
      <c r="C1515" t="s">
        <v>151</v>
      </c>
      <c r="D1515" t="s">
        <v>198</v>
      </c>
      <c r="E1515" t="s">
        <v>47</v>
      </c>
      <c r="F1515" t="s">
        <v>214</v>
      </c>
      <c r="G1515">
        <v>-100000</v>
      </c>
      <c r="H1515" t="s">
        <v>147</v>
      </c>
      <c r="I1515" t="s">
        <v>57</v>
      </c>
    </row>
    <row r="1516" spans="1:9">
      <c r="A1516" s="50">
        <v>45652</v>
      </c>
      <c r="B1516" s="51">
        <v>0.6806712962962963</v>
      </c>
      <c r="C1516" t="s">
        <v>151</v>
      </c>
      <c r="D1516" t="s">
        <v>160</v>
      </c>
      <c r="E1516" t="s">
        <v>47</v>
      </c>
      <c r="F1516" t="s">
        <v>7</v>
      </c>
      <c r="G1516">
        <v>200000</v>
      </c>
      <c r="H1516" t="s">
        <v>147</v>
      </c>
      <c r="I1516" t="s">
        <v>57</v>
      </c>
    </row>
    <row r="1517" spans="1:9">
      <c r="A1517" s="50">
        <v>45652</v>
      </c>
      <c r="B1517" s="51">
        <v>0.6806712962962963</v>
      </c>
      <c r="C1517" t="s">
        <v>151</v>
      </c>
      <c r="D1517" t="s">
        <v>160</v>
      </c>
      <c r="E1517" t="s">
        <v>47</v>
      </c>
      <c r="F1517" t="s">
        <v>7</v>
      </c>
      <c r="G1517">
        <v>-200000</v>
      </c>
      <c r="H1517" t="s">
        <v>147</v>
      </c>
      <c r="I1517" t="s">
        <v>61</v>
      </c>
    </row>
    <row r="1518" spans="1:9">
      <c r="A1518" s="50">
        <v>45651</v>
      </c>
      <c r="B1518" s="51">
        <v>0.8920601851851852</v>
      </c>
      <c r="C1518" t="s">
        <v>145</v>
      </c>
      <c r="D1518" t="s">
        <v>42</v>
      </c>
      <c r="E1518" t="s">
        <v>47</v>
      </c>
      <c r="F1518" t="s">
        <v>219</v>
      </c>
      <c r="G1518">
        <v>-32070</v>
      </c>
      <c r="H1518" t="s">
        <v>147</v>
      </c>
      <c r="I1518" t="s">
        <v>148</v>
      </c>
    </row>
    <row r="1519" spans="1:9">
      <c r="A1519" s="50">
        <v>45651</v>
      </c>
      <c r="B1519" s="51">
        <v>0.7524189814814815</v>
      </c>
      <c r="C1519" t="s">
        <v>145</v>
      </c>
      <c r="D1519" t="s">
        <v>34</v>
      </c>
      <c r="E1519" t="s">
        <v>47</v>
      </c>
      <c r="F1519" t="s">
        <v>146</v>
      </c>
      <c r="G1519">
        <v>-1400</v>
      </c>
      <c r="H1519" t="s">
        <v>147</v>
      </c>
      <c r="I1519" t="s">
        <v>148</v>
      </c>
    </row>
    <row r="1520" spans="1:9">
      <c r="A1520" s="50">
        <v>45651</v>
      </c>
      <c r="B1520" s="51">
        <v>0.7002662037037037</v>
      </c>
      <c r="C1520" t="s">
        <v>145</v>
      </c>
      <c r="D1520" t="s">
        <v>42</v>
      </c>
      <c r="E1520" t="s">
        <v>47</v>
      </c>
      <c r="F1520" t="s">
        <v>170</v>
      </c>
      <c r="G1520">
        <v>-68800</v>
      </c>
      <c r="H1520" t="s">
        <v>147</v>
      </c>
      <c r="I1520" t="s">
        <v>148</v>
      </c>
    </row>
    <row r="1521" spans="1:9">
      <c r="A1521" s="50">
        <v>45651</v>
      </c>
      <c r="B1521" s="51">
        <v>0.4420833333333333</v>
      </c>
      <c r="C1521" t="s">
        <v>151</v>
      </c>
      <c r="D1521" t="s">
        <v>151</v>
      </c>
      <c r="E1521" t="s">
        <v>47</v>
      </c>
      <c r="F1521" t="s">
        <v>163</v>
      </c>
      <c r="G1521">
        <v>-41800</v>
      </c>
      <c r="H1521" t="s">
        <v>147</v>
      </c>
      <c r="I1521" t="s">
        <v>57</v>
      </c>
    </row>
    <row r="1522" spans="1:9">
      <c r="A1522" s="50">
        <v>45651</v>
      </c>
      <c r="B1522" s="51">
        <v>0.4315277777777778</v>
      </c>
      <c r="C1522" t="s">
        <v>145</v>
      </c>
      <c r="D1522" t="s">
        <v>42</v>
      </c>
      <c r="E1522" t="s">
        <v>47</v>
      </c>
      <c r="F1522" t="s">
        <v>216</v>
      </c>
      <c r="G1522">
        <v>-26700</v>
      </c>
      <c r="H1522" t="s">
        <v>147</v>
      </c>
      <c r="I1522" t="s">
        <v>148</v>
      </c>
    </row>
    <row r="1523" spans="1:9">
      <c r="A1523" s="50">
        <v>45651</v>
      </c>
      <c r="B1523" s="51">
        <v>0.3435185185185185</v>
      </c>
      <c r="C1523" t="s">
        <v>151</v>
      </c>
      <c r="D1523" t="s">
        <v>160</v>
      </c>
      <c r="E1523" t="s">
        <v>47</v>
      </c>
      <c r="F1523" t="s">
        <v>7</v>
      </c>
      <c r="G1523">
        <v>-260000</v>
      </c>
      <c r="H1523" t="s">
        <v>147</v>
      </c>
      <c r="I1523" t="s">
        <v>57</v>
      </c>
    </row>
    <row r="1524" spans="1:9">
      <c r="A1524" s="50">
        <v>45651</v>
      </c>
      <c r="B1524" s="51">
        <v>0.2882060185185185</v>
      </c>
      <c r="C1524" t="s">
        <v>145</v>
      </c>
      <c r="D1524" t="s">
        <v>34</v>
      </c>
      <c r="E1524" t="s">
        <v>47</v>
      </c>
      <c r="F1524" t="s">
        <v>146</v>
      </c>
      <c r="G1524">
        <v>-1700</v>
      </c>
      <c r="H1524" t="s">
        <v>147</v>
      </c>
      <c r="I1524" t="s">
        <v>148</v>
      </c>
    </row>
    <row r="1525" spans="1:9">
      <c r="A1525" s="50">
        <v>45651</v>
      </c>
      <c r="B1525" s="51">
        <v>0.0004282407407407408</v>
      </c>
      <c r="C1525" t="s">
        <v>145</v>
      </c>
      <c r="D1525" t="s">
        <v>34</v>
      </c>
      <c r="E1525" t="s">
        <v>47</v>
      </c>
      <c r="F1525" t="s">
        <v>146</v>
      </c>
      <c r="G1525">
        <v>-1600</v>
      </c>
      <c r="H1525" t="s">
        <v>147</v>
      </c>
      <c r="I1525" t="s">
        <v>148</v>
      </c>
    </row>
    <row r="1526" spans="1:9">
      <c r="A1526" s="50">
        <v>45650</v>
      </c>
      <c r="B1526" s="51">
        <v>0.7552314814814814</v>
      </c>
      <c r="C1526" t="s">
        <v>151</v>
      </c>
      <c r="D1526" t="s">
        <v>151</v>
      </c>
      <c r="E1526" t="s">
        <v>47</v>
      </c>
      <c r="F1526" t="s">
        <v>163</v>
      </c>
      <c r="G1526">
        <v>-100000</v>
      </c>
      <c r="H1526" t="s">
        <v>147</v>
      </c>
      <c r="I1526" t="s">
        <v>57</v>
      </c>
    </row>
    <row r="1527" spans="1:9">
      <c r="A1527" s="50">
        <v>45650</v>
      </c>
      <c r="B1527" s="51">
        <v>0.7441319444444444</v>
      </c>
      <c r="C1527" t="s">
        <v>145</v>
      </c>
      <c r="D1527" t="s">
        <v>34</v>
      </c>
      <c r="E1527" t="s">
        <v>47</v>
      </c>
      <c r="F1527" t="s">
        <v>146</v>
      </c>
      <c r="G1527">
        <v>-1700</v>
      </c>
      <c r="H1527" t="s">
        <v>147</v>
      </c>
      <c r="I1527" t="s">
        <v>148</v>
      </c>
    </row>
    <row r="1528" spans="1:9">
      <c r="A1528" s="50">
        <v>45650</v>
      </c>
      <c r="B1528" s="51">
        <v>0.7064814814814815</v>
      </c>
      <c r="C1528" t="s">
        <v>145</v>
      </c>
      <c r="D1528" t="s">
        <v>42</v>
      </c>
      <c r="E1528" t="s">
        <v>47</v>
      </c>
      <c r="F1528" t="s">
        <v>153</v>
      </c>
      <c r="G1528">
        <v>-38700</v>
      </c>
      <c r="H1528" t="s">
        <v>147</v>
      </c>
      <c r="I1528" t="s">
        <v>154</v>
      </c>
    </row>
    <row r="1529" spans="1:9">
      <c r="A1529" s="50">
        <v>45650</v>
      </c>
      <c r="B1529" s="51">
        <v>0.7064814814814815</v>
      </c>
      <c r="C1529" t="s">
        <v>151</v>
      </c>
      <c r="D1529" t="s">
        <v>160</v>
      </c>
      <c r="E1529" t="s">
        <v>47</v>
      </c>
      <c r="F1529" t="s">
        <v>163</v>
      </c>
      <c r="G1529">
        <v>-37598</v>
      </c>
      <c r="H1529" t="s">
        <v>147</v>
      </c>
      <c r="I1529" t="s">
        <v>57</v>
      </c>
    </row>
    <row r="1530" spans="1:9">
      <c r="A1530" s="50">
        <v>45650</v>
      </c>
      <c r="B1530" s="51">
        <v>0.7064814814814815</v>
      </c>
      <c r="C1530" t="s">
        <v>151</v>
      </c>
      <c r="D1530" t="s">
        <v>160</v>
      </c>
      <c r="E1530" t="s">
        <v>47</v>
      </c>
      <c r="F1530" t="s">
        <v>161</v>
      </c>
      <c r="G1530">
        <v>37598</v>
      </c>
      <c r="H1530" t="s">
        <v>147</v>
      </c>
      <c r="I1530" t="s">
        <v>162</v>
      </c>
    </row>
    <row r="1531" spans="1:9">
      <c r="A1531" s="50">
        <v>45650</v>
      </c>
      <c r="B1531" s="51">
        <v>0.6687384259259259</v>
      </c>
      <c r="C1531" t="s">
        <v>145</v>
      </c>
      <c r="D1531" t="s">
        <v>42</v>
      </c>
      <c r="E1531" t="s">
        <v>47</v>
      </c>
      <c r="F1531" t="s">
        <v>153</v>
      </c>
      <c r="G1531">
        <v>-3900</v>
      </c>
      <c r="H1531" t="s">
        <v>147</v>
      </c>
      <c r="I1531" t="s">
        <v>154</v>
      </c>
    </row>
    <row r="1532" spans="1:9">
      <c r="A1532" s="50">
        <v>45650</v>
      </c>
      <c r="B1532" s="51">
        <v>0.4078125</v>
      </c>
      <c r="C1532" t="s">
        <v>151</v>
      </c>
      <c r="D1532" t="s">
        <v>160</v>
      </c>
      <c r="E1532" t="s">
        <v>47</v>
      </c>
      <c r="F1532" t="s">
        <v>7</v>
      </c>
      <c r="G1532">
        <v>1000000</v>
      </c>
      <c r="H1532" t="s">
        <v>147</v>
      </c>
      <c r="I1532" t="s">
        <v>61</v>
      </c>
    </row>
    <row r="1533" spans="1:9">
      <c r="A1533" s="50">
        <v>45650</v>
      </c>
      <c r="B1533" s="51">
        <v>0.4078125</v>
      </c>
      <c r="C1533" t="s">
        <v>151</v>
      </c>
      <c r="D1533" t="s">
        <v>160</v>
      </c>
      <c r="E1533" t="s">
        <v>47</v>
      </c>
      <c r="F1533" t="s">
        <v>7</v>
      </c>
      <c r="G1533">
        <v>-1000000</v>
      </c>
      <c r="H1533" t="s">
        <v>147</v>
      </c>
      <c r="I1533" t="s">
        <v>57</v>
      </c>
    </row>
    <row r="1534" spans="1:9">
      <c r="A1534" s="50">
        <v>45650</v>
      </c>
      <c r="B1534" s="51">
        <v>0.3621990740740741</v>
      </c>
      <c r="C1534" t="s">
        <v>151</v>
      </c>
      <c r="D1534" t="s">
        <v>198</v>
      </c>
      <c r="E1534" t="s">
        <v>47</v>
      </c>
      <c r="F1534" t="s">
        <v>213</v>
      </c>
      <c r="G1534">
        <v>1580390</v>
      </c>
      <c r="H1534" t="s">
        <v>147</v>
      </c>
      <c r="I1534" t="s">
        <v>57</v>
      </c>
    </row>
    <row r="1535" spans="1:9">
      <c r="A1535" s="50">
        <v>45650</v>
      </c>
      <c r="B1535" s="51">
        <v>0.2859027777777778</v>
      </c>
      <c r="C1535" t="s">
        <v>145</v>
      </c>
      <c r="D1535" t="s">
        <v>34</v>
      </c>
      <c r="E1535" t="s">
        <v>47</v>
      </c>
      <c r="F1535" t="s">
        <v>146</v>
      </c>
      <c r="G1535">
        <v>-1700</v>
      </c>
      <c r="H1535" t="s">
        <v>147</v>
      </c>
      <c r="I1535" t="s">
        <v>148</v>
      </c>
    </row>
    <row r="1536" spans="1:9">
      <c r="A1536" s="50">
        <v>45649</v>
      </c>
      <c r="B1536" s="51">
        <v>0.7675925925925926</v>
      </c>
      <c r="C1536" t="s">
        <v>145</v>
      </c>
      <c r="D1536" t="s">
        <v>44</v>
      </c>
      <c r="E1536" t="s">
        <v>220</v>
      </c>
      <c r="F1536" t="s">
        <v>221</v>
      </c>
      <c r="G1536">
        <v>-50774</v>
      </c>
      <c r="H1536" t="s">
        <v>147</v>
      </c>
      <c r="I1536" t="s">
        <v>57</v>
      </c>
    </row>
    <row r="1537" spans="1:9">
      <c r="A1537" s="50">
        <v>45647</v>
      </c>
      <c r="B1537" s="51">
        <v>0.8913888888888889</v>
      </c>
      <c r="C1537" t="s">
        <v>145</v>
      </c>
      <c r="D1537" t="s">
        <v>36</v>
      </c>
      <c r="E1537" t="s">
        <v>47</v>
      </c>
      <c r="F1537" t="s">
        <v>559</v>
      </c>
      <c r="G1537">
        <v>-5000</v>
      </c>
      <c r="H1537" t="s">
        <v>147</v>
      </c>
      <c r="I1537" t="s">
        <v>154</v>
      </c>
    </row>
    <row r="1538" spans="1:9">
      <c r="A1538" s="50">
        <v>45647</v>
      </c>
      <c r="B1538" s="51">
        <v>0.8913888888888889</v>
      </c>
      <c r="C1538" t="s">
        <v>151</v>
      </c>
      <c r="D1538" t="s">
        <v>160</v>
      </c>
      <c r="E1538" t="s">
        <v>47</v>
      </c>
      <c r="F1538" t="s">
        <v>163</v>
      </c>
      <c r="G1538">
        <v>-10000</v>
      </c>
      <c r="H1538" t="s">
        <v>147</v>
      </c>
      <c r="I1538" t="s">
        <v>57</v>
      </c>
    </row>
    <row r="1539" spans="1:9">
      <c r="A1539" s="50">
        <v>45647</v>
      </c>
      <c r="B1539" s="51">
        <v>0.8913888888888889</v>
      </c>
      <c r="C1539" t="s">
        <v>151</v>
      </c>
      <c r="D1539" t="s">
        <v>160</v>
      </c>
      <c r="E1539" t="s">
        <v>47</v>
      </c>
      <c r="F1539" t="s">
        <v>161</v>
      </c>
      <c r="G1539">
        <v>10000</v>
      </c>
      <c r="H1539" t="s">
        <v>147</v>
      </c>
      <c r="I1539" t="s">
        <v>162</v>
      </c>
    </row>
    <row r="1540" spans="1:9">
      <c r="A1540" s="50">
        <v>45647</v>
      </c>
      <c r="B1540" s="51">
        <v>0.6681712962962963</v>
      </c>
      <c r="C1540" t="s">
        <v>145</v>
      </c>
      <c r="D1540" t="s">
        <v>42</v>
      </c>
      <c r="E1540" t="s">
        <v>47</v>
      </c>
      <c r="F1540" t="s">
        <v>253</v>
      </c>
      <c r="G1540">
        <v>-33300</v>
      </c>
      <c r="H1540" t="s">
        <v>147</v>
      </c>
      <c r="I1540" t="s">
        <v>148</v>
      </c>
    </row>
    <row r="1541" spans="1:9">
      <c r="A1541" s="50">
        <v>45647</v>
      </c>
      <c r="B1541" s="51">
        <v>0.4599305555555556</v>
      </c>
      <c r="C1541" t="s">
        <v>151</v>
      </c>
      <c r="D1541" t="s">
        <v>160</v>
      </c>
      <c r="E1541" t="s">
        <v>47</v>
      </c>
      <c r="F1541" t="s">
        <v>7</v>
      </c>
      <c r="G1541">
        <v>-90000</v>
      </c>
      <c r="H1541" t="s">
        <v>147</v>
      </c>
      <c r="I1541" t="s">
        <v>61</v>
      </c>
    </row>
    <row r="1542" spans="1:9">
      <c r="A1542" s="50">
        <v>45647</v>
      </c>
      <c r="B1542" s="51">
        <v>0.4599305555555556</v>
      </c>
      <c r="C1542" t="s">
        <v>151</v>
      </c>
      <c r="D1542" t="s">
        <v>160</v>
      </c>
      <c r="E1542" t="s">
        <v>47</v>
      </c>
      <c r="F1542" t="s">
        <v>7</v>
      </c>
      <c r="G1542">
        <v>90000</v>
      </c>
      <c r="H1542" t="s">
        <v>147</v>
      </c>
      <c r="I1542" t="s">
        <v>57</v>
      </c>
    </row>
    <row r="1543" spans="1:9">
      <c r="A1543" s="50">
        <v>45646</v>
      </c>
      <c r="B1543" s="51">
        <v>0.3165972222222222</v>
      </c>
      <c r="C1543" t="s">
        <v>151</v>
      </c>
      <c r="D1543" t="s">
        <v>151</v>
      </c>
      <c r="E1543" t="s">
        <v>47</v>
      </c>
      <c r="F1543" t="s">
        <v>560</v>
      </c>
      <c r="G1543">
        <v>-34000</v>
      </c>
      <c r="H1543" t="s">
        <v>147</v>
      </c>
      <c r="I1543" t="s">
        <v>57</v>
      </c>
    </row>
    <row r="1544" spans="1:9">
      <c r="A1544" s="50">
        <v>45646</v>
      </c>
      <c r="B1544" s="51">
        <v>0.2889930555555555</v>
      </c>
      <c r="C1544" t="s">
        <v>145</v>
      </c>
      <c r="D1544" t="s">
        <v>34</v>
      </c>
      <c r="E1544" t="s">
        <v>47</v>
      </c>
      <c r="F1544" t="s">
        <v>146</v>
      </c>
      <c r="G1544">
        <v>-1700</v>
      </c>
      <c r="H1544" t="s">
        <v>147</v>
      </c>
      <c r="I1544" t="s">
        <v>148</v>
      </c>
    </row>
    <row r="1545" spans="1:9">
      <c r="A1545" s="50">
        <v>45645</v>
      </c>
      <c r="B1545" s="51">
        <v>0.7364120370370371</v>
      </c>
      <c r="C1545" t="s">
        <v>145</v>
      </c>
      <c r="D1545" t="s">
        <v>34</v>
      </c>
      <c r="E1545" t="s">
        <v>47</v>
      </c>
      <c r="F1545" t="s">
        <v>146</v>
      </c>
      <c r="G1545">
        <v>-1700</v>
      </c>
      <c r="H1545" t="s">
        <v>147</v>
      </c>
      <c r="I1545" t="s">
        <v>148</v>
      </c>
    </row>
    <row r="1546" spans="1:9">
      <c r="A1546" s="50">
        <v>45645</v>
      </c>
      <c r="B1546" s="51">
        <v>0.2869907407407408</v>
      </c>
      <c r="C1546" t="s">
        <v>145</v>
      </c>
      <c r="D1546" t="s">
        <v>34</v>
      </c>
      <c r="E1546" t="s">
        <v>47</v>
      </c>
      <c r="F1546" t="s">
        <v>146</v>
      </c>
      <c r="G1546">
        <v>-1700</v>
      </c>
      <c r="H1546" t="s">
        <v>147</v>
      </c>
      <c r="I1546" t="s">
        <v>148</v>
      </c>
    </row>
    <row r="1547" spans="1:9">
      <c r="A1547" s="50">
        <v>45644</v>
      </c>
      <c r="B1547" s="51">
        <v>0.8421412037037037</v>
      </c>
      <c r="C1547" t="s">
        <v>151</v>
      </c>
      <c r="D1547" t="s">
        <v>160</v>
      </c>
      <c r="E1547" t="s">
        <v>47</v>
      </c>
      <c r="F1547" t="s">
        <v>7</v>
      </c>
      <c r="G1547">
        <v>8011</v>
      </c>
      <c r="H1547" t="s">
        <v>147</v>
      </c>
      <c r="I1547" t="s">
        <v>57</v>
      </c>
    </row>
    <row r="1548" spans="1:9">
      <c r="A1548" s="50">
        <v>45644</v>
      </c>
      <c r="B1548" s="51">
        <v>0.8421412037037037</v>
      </c>
      <c r="C1548" t="s">
        <v>151</v>
      </c>
      <c r="D1548" t="s">
        <v>160</v>
      </c>
      <c r="E1548" t="s">
        <v>47</v>
      </c>
      <c r="F1548" t="s">
        <v>161</v>
      </c>
      <c r="G1548">
        <v>-8011</v>
      </c>
      <c r="H1548" t="s">
        <v>147</v>
      </c>
      <c r="I1548" t="s">
        <v>162</v>
      </c>
    </row>
    <row r="1549" spans="1:9">
      <c r="A1549" s="50">
        <v>45644</v>
      </c>
      <c r="B1549" s="51">
        <v>0.8410069444444445</v>
      </c>
      <c r="C1549" t="s">
        <v>151</v>
      </c>
      <c r="D1549" t="s">
        <v>151</v>
      </c>
      <c r="E1549" t="s">
        <v>47</v>
      </c>
      <c r="F1549" t="s">
        <v>560</v>
      </c>
      <c r="G1549">
        <v>-10000</v>
      </c>
      <c r="H1549" t="s">
        <v>147</v>
      </c>
      <c r="I1549" t="s">
        <v>57</v>
      </c>
    </row>
    <row r="1550" spans="1:9">
      <c r="A1550" s="50">
        <v>45644</v>
      </c>
      <c r="B1550" s="51">
        <v>0.7375231481481481</v>
      </c>
      <c r="C1550" t="s">
        <v>145</v>
      </c>
      <c r="D1550" t="s">
        <v>34</v>
      </c>
      <c r="E1550" t="s">
        <v>47</v>
      </c>
      <c r="F1550" t="s">
        <v>146</v>
      </c>
      <c r="G1550">
        <v>-1700</v>
      </c>
      <c r="H1550" t="s">
        <v>147</v>
      </c>
      <c r="I1550" t="s">
        <v>148</v>
      </c>
    </row>
    <row r="1551" spans="1:9">
      <c r="A1551" s="50">
        <v>45644</v>
      </c>
      <c r="B1551" s="51">
        <v>0.4367476851851852</v>
      </c>
      <c r="C1551" t="s">
        <v>151</v>
      </c>
      <c r="D1551" t="s">
        <v>160</v>
      </c>
      <c r="E1551" t="s">
        <v>47</v>
      </c>
      <c r="F1551" t="s">
        <v>7</v>
      </c>
      <c r="G1551">
        <v>-150000</v>
      </c>
      <c r="H1551" t="s">
        <v>147</v>
      </c>
      <c r="I1551" t="s">
        <v>61</v>
      </c>
    </row>
    <row r="1552" spans="1:9">
      <c r="A1552" s="50">
        <v>45644</v>
      </c>
      <c r="B1552" s="51">
        <v>0.2884606481481481</v>
      </c>
      <c r="C1552" t="s">
        <v>145</v>
      </c>
      <c r="D1552" t="s">
        <v>34</v>
      </c>
      <c r="E1552" t="s">
        <v>47</v>
      </c>
      <c r="F1552" t="s">
        <v>146</v>
      </c>
      <c r="G1552">
        <v>-1700</v>
      </c>
      <c r="H1552" t="s">
        <v>147</v>
      </c>
      <c r="I1552" t="s">
        <v>148</v>
      </c>
    </row>
    <row r="1553" spans="1:9">
      <c r="A1553" s="50">
        <v>45643</v>
      </c>
      <c r="B1553" s="51">
        <v>0.7364120370370371</v>
      </c>
      <c r="C1553" t="s">
        <v>145</v>
      </c>
      <c r="D1553" t="s">
        <v>34</v>
      </c>
      <c r="E1553" t="s">
        <v>47</v>
      </c>
      <c r="F1553" t="s">
        <v>146</v>
      </c>
      <c r="G1553">
        <v>-1700</v>
      </c>
      <c r="H1553" t="s">
        <v>147</v>
      </c>
      <c r="I1553" t="s">
        <v>148</v>
      </c>
    </row>
    <row r="1554" spans="1:9">
      <c r="A1554" s="50">
        <v>45643</v>
      </c>
      <c r="B1554" s="51">
        <v>0.4502546296296296</v>
      </c>
      <c r="C1554" t="s">
        <v>145</v>
      </c>
      <c r="D1554" t="s">
        <v>42</v>
      </c>
      <c r="E1554" t="s">
        <v>47</v>
      </c>
      <c r="F1554" t="s">
        <v>512</v>
      </c>
      <c r="G1554">
        <v>-7890</v>
      </c>
      <c r="H1554" t="s">
        <v>147</v>
      </c>
      <c r="I1554" t="s">
        <v>148</v>
      </c>
    </row>
    <row r="1555" spans="1:9">
      <c r="A1555" s="50">
        <v>45643</v>
      </c>
      <c r="B1555" s="51">
        <v>0.2878009259259259</v>
      </c>
      <c r="C1555" t="s">
        <v>145</v>
      </c>
      <c r="D1555" t="s">
        <v>34</v>
      </c>
      <c r="E1555" t="s">
        <v>47</v>
      </c>
      <c r="F1555" t="s">
        <v>146</v>
      </c>
      <c r="G1555">
        <v>-1700</v>
      </c>
      <c r="H1555" t="s">
        <v>147</v>
      </c>
      <c r="I1555" t="s">
        <v>148</v>
      </c>
    </row>
    <row r="1556" spans="1:9">
      <c r="A1556" s="50">
        <v>45642</v>
      </c>
      <c r="B1556" s="51">
        <v>0.8590625</v>
      </c>
      <c r="C1556" t="s">
        <v>151</v>
      </c>
      <c r="D1556" t="s">
        <v>151</v>
      </c>
      <c r="E1556" t="s">
        <v>47</v>
      </c>
      <c r="F1556" t="s">
        <v>400</v>
      </c>
      <c r="G1556">
        <v>-50000</v>
      </c>
      <c r="H1556" t="s">
        <v>147</v>
      </c>
      <c r="I1556" t="s">
        <v>57</v>
      </c>
    </row>
    <row r="1557" spans="1:9">
      <c r="A1557" s="50">
        <v>45642</v>
      </c>
      <c r="B1557" s="51">
        <v>0.7792129629629629</v>
      </c>
      <c r="C1557" t="s">
        <v>145</v>
      </c>
      <c r="D1557" t="s">
        <v>35</v>
      </c>
      <c r="E1557" t="s">
        <v>204</v>
      </c>
      <c r="F1557" t="s">
        <v>511</v>
      </c>
      <c r="G1557">
        <v>-28200</v>
      </c>
      <c r="H1557" t="s">
        <v>147</v>
      </c>
      <c r="I1557" t="s">
        <v>57</v>
      </c>
    </row>
    <row r="1558" spans="1:9">
      <c r="A1558" s="50">
        <v>45642</v>
      </c>
      <c r="B1558" s="51">
        <v>0.505</v>
      </c>
      <c r="C1558" t="s">
        <v>151</v>
      </c>
      <c r="D1558" t="s">
        <v>160</v>
      </c>
      <c r="E1558" t="s">
        <v>47</v>
      </c>
      <c r="F1558" t="s">
        <v>233</v>
      </c>
      <c r="G1558">
        <v>-73847</v>
      </c>
      <c r="H1558" t="s">
        <v>147</v>
      </c>
      <c r="I1558" t="s">
        <v>57</v>
      </c>
    </row>
    <row r="1559" spans="1:9">
      <c r="A1559" s="50">
        <v>45642</v>
      </c>
      <c r="B1559" s="51">
        <v>0.505</v>
      </c>
      <c r="C1559" t="s">
        <v>151</v>
      </c>
      <c r="D1559" t="s">
        <v>160</v>
      </c>
      <c r="E1559" t="s">
        <v>47</v>
      </c>
      <c r="F1559" t="s">
        <v>7</v>
      </c>
      <c r="G1559">
        <v>-200000</v>
      </c>
      <c r="H1559" t="s">
        <v>147</v>
      </c>
      <c r="I1559" t="s">
        <v>61</v>
      </c>
    </row>
    <row r="1560" spans="1:9">
      <c r="A1560" s="50">
        <v>45642</v>
      </c>
      <c r="B1560" s="51">
        <v>0.505</v>
      </c>
      <c r="C1560" t="s">
        <v>151</v>
      </c>
      <c r="D1560" t="s">
        <v>160</v>
      </c>
      <c r="E1560" t="s">
        <v>47</v>
      </c>
      <c r="F1560" t="s">
        <v>7</v>
      </c>
      <c r="G1560">
        <v>200000</v>
      </c>
      <c r="H1560" t="s">
        <v>147</v>
      </c>
      <c r="I1560" t="s">
        <v>57</v>
      </c>
    </row>
    <row r="1561" spans="1:9">
      <c r="A1561" s="50">
        <v>45642</v>
      </c>
      <c r="B1561" s="51">
        <v>0.1306944444444444</v>
      </c>
      <c r="C1561" t="s">
        <v>145</v>
      </c>
      <c r="D1561" t="s">
        <v>35</v>
      </c>
      <c r="E1561" t="s">
        <v>207</v>
      </c>
      <c r="F1561" t="s">
        <v>234</v>
      </c>
      <c r="G1561">
        <v>-126315</v>
      </c>
      <c r="H1561" t="s">
        <v>147</v>
      </c>
      <c r="I1561" t="s">
        <v>57</v>
      </c>
    </row>
    <row r="1562" spans="1:9">
      <c r="A1562" s="50">
        <v>45642</v>
      </c>
      <c r="B1562" s="51">
        <v>0.128287037037037</v>
      </c>
      <c r="C1562" t="s">
        <v>151</v>
      </c>
      <c r="D1562" t="s">
        <v>151</v>
      </c>
      <c r="E1562" t="s">
        <v>47</v>
      </c>
      <c r="F1562" t="s">
        <v>234</v>
      </c>
      <c r="G1562">
        <v>-352113</v>
      </c>
      <c r="H1562" t="s">
        <v>147</v>
      </c>
      <c r="I1562" t="s">
        <v>61</v>
      </c>
    </row>
    <row r="1563" spans="1:9">
      <c r="A1563" s="50">
        <v>45641</v>
      </c>
      <c r="B1563" s="51">
        <v>0.04711805555555556</v>
      </c>
      <c r="C1563" t="s">
        <v>145</v>
      </c>
      <c r="D1563" t="s">
        <v>42</v>
      </c>
      <c r="E1563" t="s">
        <v>47</v>
      </c>
      <c r="F1563" t="s">
        <v>225</v>
      </c>
      <c r="G1563">
        <v>-1990</v>
      </c>
      <c r="H1563" t="s">
        <v>147</v>
      </c>
      <c r="I1563" t="s">
        <v>154</v>
      </c>
    </row>
    <row r="1564" spans="1:9">
      <c r="A1564" s="50">
        <v>45641</v>
      </c>
      <c r="B1564" s="51">
        <v>0.04711805555555556</v>
      </c>
      <c r="C1564" t="s">
        <v>151</v>
      </c>
      <c r="D1564" t="s">
        <v>160</v>
      </c>
      <c r="E1564" t="s">
        <v>47</v>
      </c>
      <c r="F1564" t="s">
        <v>163</v>
      </c>
      <c r="G1564">
        <v>-10000</v>
      </c>
      <c r="H1564" t="s">
        <v>147</v>
      </c>
      <c r="I1564" t="s">
        <v>57</v>
      </c>
    </row>
    <row r="1565" spans="1:9">
      <c r="A1565" s="50">
        <v>45641</v>
      </c>
      <c r="B1565" s="51">
        <v>0.04711805555555556</v>
      </c>
      <c r="C1565" t="s">
        <v>151</v>
      </c>
      <c r="D1565" t="s">
        <v>160</v>
      </c>
      <c r="E1565" t="s">
        <v>47</v>
      </c>
      <c r="F1565" t="s">
        <v>161</v>
      </c>
      <c r="G1565">
        <v>10000</v>
      </c>
      <c r="H1565" t="s">
        <v>147</v>
      </c>
      <c r="I1565" t="s">
        <v>162</v>
      </c>
    </row>
    <row r="1566" spans="1:9">
      <c r="A1566" s="50">
        <v>45640</v>
      </c>
      <c r="B1566" s="51">
        <v>0.7716435185185185</v>
      </c>
      <c r="C1566" t="s">
        <v>145</v>
      </c>
      <c r="D1566" t="s">
        <v>40</v>
      </c>
      <c r="E1566" t="s">
        <v>47</v>
      </c>
      <c r="F1566" t="s">
        <v>228</v>
      </c>
      <c r="G1566">
        <v>-35800</v>
      </c>
      <c r="H1566" t="s">
        <v>147</v>
      </c>
      <c r="I1566" t="s">
        <v>148</v>
      </c>
    </row>
    <row r="1567" spans="1:9">
      <c r="A1567" s="50">
        <v>45639</v>
      </c>
      <c r="B1567" s="51">
        <v>0.8114467592592592</v>
      </c>
      <c r="C1567" t="s">
        <v>151</v>
      </c>
      <c r="D1567" t="s">
        <v>151</v>
      </c>
      <c r="E1567" t="s">
        <v>47</v>
      </c>
      <c r="F1567" t="s">
        <v>163</v>
      </c>
      <c r="G1567">
        <v>-100000</v>
      </c>
      <c r="H1567" t="s">
        <v>147</v>
      </c>
      <c r="I1567" t="s">
        <v>57</v>
      </c>
    </row>
    <row r="1568" spans="1:9">
      <c r="A1568" s="50">
        <v>45639</v>
      </c>
      <c r="B1568" s="51">
        <v>0.7905671296296296</v>
      </c>
      <c r="C1568" t="s">
        <v>145</v>
      </c>
      <c r="D1568" t="s">
        <v>43</v>
      </c>
      <c r="E1568" t="s">
        <v>47</v>
      </c>
      <c r="F1568" t="s">
        <v>561</v>
      </c>
      <c r="G1568">
        <v>-6000</v>
      </c>
      <c r="H1568" t="s">
        <v>147</v>
      </c>
      <c r="I1568" t="s">
        <v>165</v>
      </c>
    </row>
    <row r="1569" spans="1:9">
      <c r="A1569" s="50">
        <v>45639</v>
      </c>
      <c r="B1569" s="51">
        <v>0.7680555555555556</v>
      </c>
      <c r="C1569" t="s">
        <v>151</v>
      </c>
      <c r="D1569" t="s">
        <v>151</v>
      </c>
      <c r="E1569" t="s">
        <v>47</v>
      </c>
      <c r="F1569" t="s">
        <v>562</v>
      </c>
      <c r="G1569">
        <v>-300000</v>
      </c>
      <c r="H1569" t="s">
        <v>147</v>
      </c>
      <c r="I1569" t="s">
        <v>57</v>
      </c>
    </row>
    <row r="1570" spans="1:9">
      <c r="A1570" s="50">
        <v>45639</v>
      </c>
      <c r="B1570" s="51">
        <v>0.7402893518518519</v>
      </c>
      <c r="C1570" t="s">
        <v>151</v>
      </c>
      <c r="D1570" t="s">
        <v>151</v>
      </c>
      <c r="E1570" t="s">
        <v>47</v>
      </c>
      <c r="F1570" t="s">
        <v>163</v>
      </c>
      <c r="G1570">
        <v>-100000</v>
      </c>
      <c r="H1570" t="s">
        <v>147</v>
      </c>
      <c r="I1570" t="s">
        <v>57</v>
      </c>
    </row>
    <row r="1571" spans="1:9">
      <c r="A1571" s="50">
        <v>45639</v>
      </c>
      <c r="B1571" s="51">
        <v>0.3794328703703704</v>
      </c>
      <c r="C1571" t="s">
        <v>151</v>
      </c>
      <c r="D1571" t="s">
        <v>160</v>
      </c>
      <c r="E1571" t="s">
        <v>47</v>
      </c>
      <c r="F1571" t="s">
        <v>7</v>
      </c>
      <c r="G1571">
        <v>-100000</v>
      </c>
      <c r="H1571" t="s">
        <v>147</v>
      </c>
      <c r="I1571" t="s">
        <v>57</v>
      </c>
    </row>
    <row r="1572" spans="1:9">
      <c r="A1572" s="50">
        <v>45639</v>
      </c>
      <c r="B1572" s="51">
        <v>0.2874421296296296</v>
      </c>
      <c r="C1572" t="s">
        <v>145</v>
      </c>
      <c r="D1572" t="s">
        <v>34</v>
      </c>
      <c r="E1572" t="s">
        <v>47</v>
      </c>
      <c r="F1572" t="s">
        <v>146</v>
      </c>
      <c r="G1572">
        <v>-1700</v>
      </c>
      <c r="H1572" t="s">
        <v>147</v>
      </c>
      <c r="I1572" t="s">
        <v>148</v>
      </c>
    </row>
    <row r="1573" spans="1:9">
      <c r="A1573" s="50">
        <v>45638</v>
      </c>
      <c r="B1573" s="51">
        <v>0.9310300925925926</v>
      </c>
      <c r="C1573" t="s">
        <v>151</v>
      </c>
      <c r="D1573" t="s">
        <v>151</v>
      </c>
      <c r="E1573" t="s">
        <v>47</v>
      </c>
      <c r="F1573" t="s">
        <v>163</v>
      </c>
      <c r="G1573">
        <v>-200000</v>
      </c>
      <c r="H1573" t="s">
        <v>147</v>
      </c>
      <c r="I1573" t="s">
        <v>57</v>
      </c>
    </row>
    <row r="1574" spans="1:9">
      <c r="A1574" s="50">
        <v>45638</v>
      </c>
      <c r="B1574" s="51">
        <v>0.8260300925925926</v>
      </c>
      <c r="C1574" t="s">
        <v>145</v>
      </c>
      <c r="D1574" t="s">
        <v>34</v>
      </c>
      <c r="E1574" t="s">
        <v>47</v>
      </c>
      <c r="F1574" t="s">
        <v>146</v>
      </c>
      <c r="G1574">
        <v>-1700</v>
      </c>
      <c r="H1574" t="s">
        <v>147</v>
      </c>
      <c r="I1574" t="s">
        <v>148</v>
      </c>
    </row>
    <row r="1575" spans="1:9">
      <c r="A1575" s="50">
        <v>45638</v>
      </c>
      <c r="B1575" s="51">
        <v>0.8072916666666666</v>
      </c>
      <c r="C1575" t="s">
        <v>145</v>
      </c>
      <c r="D1575" t="s">
        <v>38</v>
      </c>
      <c r="E1575" t="s">
        <v>47</v>
      </c>
      <c r="F1575" t="s">
        <v>259</v>
      </c>
      <c r="G1575">
        <v>-2100</v>
      </c>
      <c r="H1575" t="s">
        <v>147</v>
      </c>
      <c r="I1575" t="s">
        <v>165</v>
      </c>
    </row>
    <row r="1576" spans="1:9">
      <c r="A1576" s="50">
        <v>45638</v>
      </c>
      <c r="B1576" s="51">
        <v>0.7395601851851852</v>
      </c>
      <c r="C1576" t="s">
        <v>145</v>
      </c>
      <c r="D1576" t="s">
        <v>34</v>
      </c>
      <c r="E1576" t="s">
        <v>47</v>
      </c>
      <c r="F1576" t="s">
        <v>244</v>
      </c>
      <c r="G1576">
        <v>-1200</v>
      </c>
      <c r="H1576" t="s">
        <v>147</v>
      </c>
      <c r="I1576" t="s">
        <v>148</v>
      </c>
    </row>
    <row r="1577" spans="1:9">
      <c r="A1577" s="50">
        <v>45638</v>
      </c>
      <c r="B1577" s="51">
        <v>0.7240046296296296</v>
      </c>
      <c r="C1577" t="s">
        <v>145</v>
      </c>
      <c r="D1577" t="s">
        <v>42</v>
      </c>
      <c r="E1577" t="s">
        <v>47</v>
      </c>
      <c r="F1577" t="s">
        <v>158</v>
      </c>
      <c r="G1577">
        <v>-90000</v>
      </c>
      <c r="H1577" t="s">
        <v>147</v>
      </c>
      <c r="I1577" t="s">
        <v>57</v>
      </c>
    </row>
    <row r="1578" spans="1:9">
      <c r="A1578" s="50">
        <v>45638</v>
      </c>
      <c r="B1578" s="51">
        <v>0.6808333333333333</v>
      </c>
      <c r="C1578" t="s">
        <v>145</v>
      </c>
      <c r="D1578" t="s">
        <v>35</v>
      </c>
      <c r="E1578" t="s">
        <v>47</v>
      </c>
      <c r="F1578" t="s">
        <v>197</v>
      </c>
      <c r="G1578">
        <v>-50000</v>
      </c>
      <c r="H1578" t="s">
        <v>147</v>
      </c>
      <c r="I1578" t="s">
        <v>162</v>
      </c>
    </row>
    <row r="1579" spans="1:9">
      <c r="A1579" s="50">
        <v>45638</v>
      </c>
      <c r="B1579" s="51">
        <v>0.6808217592592593</v>
      </c>
      <c r="C1579" t="s">
        <v>151</v>
      </c>
      <c r="D1579" t="s">
        <v>160</v>
      </c>
      <c r="E1579" t="s">
        <v>47</v>
      </c>
      <c r="F1579" t="s">
        <v>163</v>
      </c>
      <c r="G1579">
        <v>-45000</v>
      </c>
      <c r="H1579" t="s">
        <v>147</v>
      </c>
      <c r="I1579" t="s">
        <v>57</v>
      </c>
    </row>
    <row r="1580" spans="1:9">
      <c r="A1580" s="50">
        <v>45638</v>
      </c>
      <c r="B1580" s="51">
        <v>0.6808217592592593</v>
      </c>
      <c r="C1580" t="s">
        <v>151</v>
      </c>
      <c r="D1580" t="s">
        <v>160</v>
      </c>
      <c r="E1580" t="s">
        <v>47</v>
      </c>
      <c r="F1580" t="s">
        <v>161</v>
      </c>
      <c r="G1580">
        <v>45000</v>
      </c>
      <c r="H1580" t="s">
        <v>147</v>
      </c>
      <c r="I1580" t="s">
        <v>162</v>
      </c>
    </row>
    <row r="1581" spans="1:9">
      <c r="A1581" s="50">
        <v>45638</v>
      </c>
      <c r="B1581" s="51">
        <v>0.482175925925926</v>
      </c>
      <c r="C1581" t="s">
        <v>151</v>
      </c>
      <c r="D1581" t="s">
        <v>160</v>
      </c>
      <c r="E1581" t="s">
        <v>47</v>
      </c>
      <c r="F1581" t="s">
        <v>163</v>
      </c>
      <c r="G1581">
        <v>-10000</v>
      </c>
      <c r="H1581" t="s">
        <v>147</v>
      </c>
      <c r="I1581" t="s">
        <v>57</v>
      </c>
    </row>
    <row r="1582" spans="1:9">
      <c r="A1582" s="50">
        <v>45638</v>
      </c>
      <c r="B1582" s="51">
        <v>0.482175925925926</v>
      </c>
      <c r="C1582" t="s">
        <v>151</v>
      </c>
      <c r="D1582" t="s">
        <v>160</v>
      </c>
      <c r="E1582" t="s">
        <v>47</v>
      </c>
      <c r="F1582" t="s">
        <v>161</v>
      </c>
      <c r="G1582">
        <v>10000</v>
      </c>
      <c r="H1582" t="s">
        <v>147</v>
      </c>
      <c r="I1582" t="s">
        <v>162</v>
      </c>
    </row>
    <row r="1583" spans="1:9">
      <c r="A1583" s="50">
        <v>45638</v>
      </c>
      <c r="B1583" s="51">
        <v>0.4081828703703704</v>
      </c>
      <c r="C1583" t="s">
        <v>145</v>
      </c>
      <c r="D1583" t="s">
        <v>42</v>
      </c>
      <c r="E1583" t="s">
        <v>47</v>
      </c>
      <c r="F1583" t="s">
        <v>153</v>
      </c>
      <c r="G1583">
        <v>-56000</v>
      </c>
      <c r="H1583" t="s">
        <v>147</v>
      </c>
      <c r="I1583" t="s">
        <v>154</v>
      </c>
    </row>
    <row r="1584" spans="1:9">
      <c r="A1584" s="50">
        <v>45638</v>
      </c>
      <c r="B1584" s="51">
        <v>0.3820601851851852</v>
      </c>
      <c r="C1584" t="s">
        <v>151</v>
      </c>
      <c r="D1584" t="s">
        <v>160</v>
      </c>
      <c r="E1584" t="s">
        <v>47</v>
      </c>
      <c r="F1584" t="s">
        <v>7</v>
      </c>
      <c r="G1584">
        <v>-2000000</v>
      </c>
      <c r="H1584" t="s">
        <v>147</v>
      </c>
      <c r="I1584" t="s">
        <v>57</v>
      </c>
    </row>
    <row r="1585" spans="1:9">
      <c r="A1585" s="50">
        <v>45638</v>
      </c>
      <c r="B1585" s="51">
        <v>0.3820601851851852</v>
      </c>
      <c r="C1585" t="s">
        <v>151</v>
      </c>
      <c r="D1585" t="s">
        <v>160</v>
      </c>
      <c r="E1585" t="s">
        <v>47</v>
      </c>
      <c r="F1585" t="s">
        <v>7</v>
      </c>
      <c r="G1585">
        <v>2000000</v>
      </c>
      <c r="H1585" t="s">
        <v>147</v>
      </c>
      <c r="I1585" t="s">
        <v>61</v>
      </c>
    </row>
    <row r="1586" spans="1:9">
      <c r="A1586" s="50">
        <v>45638</v>
      </c>
      <c r="B1586" s="51">
        <v>0.3766087962962963</v>
      </c>
      <c r="C1586" t="s">
        <v>145</v>
      </c>
      <c r="D1586" t="s">
        <v>42</v>
      </c>
      <c r="E1586" t="s">
        <v>47</v>
      </c>
      <c r="F1586" t="s">
        <v>229</v>
      </c>
      <c r="G1586">
        <v>-100000</v>
      </c>
      <c r="H1586" t="s">
        <v>147</v>
      </c>
      <c r="I1586" t="s">
        <v>57</v>
      </c>
    </row>
    <row r="1587" spans="1:9">
      <c r="A1587" s="50">
        <v>45638</v>
      </c>
      <c r="B1587" s="51">
        <v>0.3617361111111111</v>
      </c>
      <c r="C1587" t="s">
        <v>151</v>
      </c>
      <c r="D1587" t="s">
        <v>198</v>
      </c>
      <c r="E1587" t="s">
        <v>47</v>
      </c>
      <c r="F1587" t="s">
        <v>213</v>
      </c>
      <c r="G1587">
        <v>1893930</v>
      </c>
      <c r="H1587" t="s">
        <v>147</v>
      </c>
      <c r="I1587" t="s">
        <v>57</v>
      </c>
    </row>
    <row r="1588" spans="1:9">
      <c r="A1588" s="50">
        <v>45638</v>
      </c>
      <c r="B1588" s="51">
        <v>0.3614583333333333</v>
      </c>
      <c r="C1588" t="s">
        <v>151</v>
      </c>
      <c r="D1588" t="s">
        <v>198</v>
      </c>
      <c r="E1588" t="s">
        <v>47</v>
      </c>
      <c r="F1588" t="s">
        <v>213</v>
      </c>
      <c r="G1588">
        <v>1371930</v>
      </c>
      <c r="H1588" t="s">
        <v>147</v>
      </c>
      <c r="I1588" t="s">
        <v>57</v>
      </c>
    </row>
    <row r="1589" spans="1:9">
      <c r="A1589" s="50">
        <v>45638</v>
      </c>
      <c r="B1589" s="51">
        <v>0.2881597222222222</v>
      </c>
      <c r="C1589" t="s">
        <v>145</v>
      </c>
      <c r="D1589" t="s">
        <v>34</v>
      </c>
      <c r="E1589" t="s">
        <v>47</v>
      </c>
      <c r="F1589" t="s">
        <v>146</v>
      </c>
      <c r="G1589">
        <v>-1700</v>
      </c>
      <c r="H1589" t="s">
        <v>147</v>
      </c>
      <c r="I1589" t="s">
        <v>148</v>
      </c>
    </row>
    <row r="1590" spans="1:9">
      <c r="A1590" s="50">
        <v>45637</v>
      </c>
      <c r="B1590" s="51">
        <v>0.8228356481481481</v>
      </c>
      <c r="C1590" t="s">
        <v>145</v>
      </c>
      <c r="D1590" t="s">
        <v>36</v>
      </c>
      <c r="E1590" t="s">
        <v>47</v>
      </c>
      <c r="F1590" t="s">
        <v>245</v>
      </c>
      <c r="G1590">
        <v>-54000</v>
      </c>
      <c r="H1590" t="s">
        <v>147</v>
      </c>
      <c r="I1590" t="s">
        <v>148</v>
      </c>
    </row>
    <row r="1591" spans="1:9">
      <c r="A1591" s="50">
        <v>45637</v>
      </c>
      <c r="B1591" s="51">
        <v>0.7704861111111111</v>
      </c>
      <c r="C1591" t="s">
        <v>145</v>
      </c>
      <c r="D1591" t="s">
        <v>37</v>
      </c>
      <c r="E1591" t="s">
        <v>47</v>
      </c>
      <c r="F1591" t="s">
        <v>563</v>
      </c>
      <c r="G1591">
        <v>-6900</v>
      </c>
      <c r="H1591" t="s">
        <v>147</v>
      </c>
      <c r="I1591" t="s">
        <v>148</v>
      </c>
    </row>
    <row r="1592" spans="1:9">
      <c r="A1592" s="50">
        <v>45637</v>
      </c>
      <c r="B1592" s="51">
        <v>0.7630671296296296</v>
      </c>
      <c r="C1592" t="s">
        <v>145</v>
      </c>
      <c r="D1592" t="s">
        <v>34</v>
      </c>
      <c r="E1592" t="s">
        <v>47</v>
      </c>
      <c r="F1592" t="s">
        <v>146</v>
      </c>
      <c r="G1592">
        <v>-300</v>
      </c>
      <c r="H1592" t="s">
        <v>147</v>
      </c>
      <c r="I1592" t="s">
        <v>148</v>
      </c>
    </row>
    <row r="1593" spans="1:9">
      <c r="A1593" s="50">
        <v>45637</v>
      </c>
      <c r="B1593" s="51">
        <v>0.7475694444444444</v>
      </c>
      <c r="C1593" t="s">
        <v>151</v>
      </c>
      <c r="D1593" t="s">
        <v>160</v>
      </c>
      <c r="E1593" t="s">
        <v>47</v>
      </c>
      <c r="F1593" t="s">
        <v>7</v>
      </c>
      <c r="G1593">
        <v>-198779</v>
      </c>
      <c r="H1593" t="s">
        <v>147</v>
      </c>
      <c r="I1593" t="s">
        <v>61</v>
      </c>
    </row>
    <row r="1594" spans="1:9">
      <c r="A1594" s="50">
        <v>45637</v>
      </c>
      <c r="B1594" s="51">
        <v>0.7371527777777778</v>
      </c>
      <c r="C1594" t="s">
        <v>145</v>
      </c>
      <c r="D1594" t="s">
        <v>34</v>
      </c>
      <c r="E1594" t="s">
        <v>47</v>
      </c>
      <c r="F1594" t="s">
        <v>244</v>
      </c>
      <c r="G1594">
        <v>-1500</v>
      </c>
      <c r="H1594" t="s">
        <v>147</v>
      </c>
      <c r="I1594" t="s">
        <v>148</v>
      </c>
    </row>
    <row r="1595" spans="1:9">
      <c r="A1595" s="50">
        <v>45637</v>
      </c>
      <c r="B1595" s="51">
        <v>0.6516666666666666</v>
      </c>
      <c r="C1595" t="s">
        <v>145</v>
      </c>
      <c r="D1595" t="s">
        <v>34</v>
      </c>
      <c r="E1595" t="s">
        <v>47</v>
      </c>
      <c r="F1595" t="s">
        <v>244</v>
      </c>
      <c r="G1595">
        <v>-1500</v>
      </c>
      <c r="H1595" t="s">
        <v>147</v>
      </c>
      <c r="I1595" t="s">
        <v>148</v>
      </c>
    </row>
    <row r="1596" spans="1:9">
      <c r="A1596" s="50">
        <v>45637</v>
      </c>
      <c r="B1596" s="51">
        <v>0.4629745370370371</v>
      </c>
      <c r="C1596" t="s">
        <v>145</v>
      </c>
      <c r="D1596" t="s">
        <v>42</v>
      </c>
      <c r="E1596" t="s">
        <v>47</v>
      </c>
      <c r="F1596" t="s">
        <v>158</v>
      </c>
      <c r="G1596">
        <v>-50000</v>
      </c>
      <c r="H1596" t="s">
        <v>147</v>
      </c>
      <c r="I1596" t="s">
        <v>57</v>
      </c>
    </row>
    <row r="1597" spans="1:9">
      <c r="A1597" s="50">
        <v>45637</v>
      </c>
      <c r="B1597" s="51">
        <v>0.2858449074074074</v>
      </c>
      <c r="C1597" t="s">
        <v>145</v>
      </c>
      <c r="D1597" t="s">
        <v>34</v>
      </c>
      <c r="E1597" t="s">
        <v>47</v>
      </c>
      <c r="F1597" t="s">
        <v>146</v>
      </c>
      <c r="G1597">
        <v>-1700</v>
      </c>
      <c r="H1597" t="s">
        <v>147</v>
      </c>
      <c r="I1597" t="s">
        <v>148</v>
      </c>
    </row>
    <row r="1598" spans="1:9">
      <c r="A1598" s="50">
        <v>45636</v>
      </c>
      <c r="B1598" s="51">
        <v>0.7603935185185186</v>
      </c>
      <c r="C1598" t="s">
        <v>145</v>
      </c>
      <c r="D1598" t="s">
        <v>34</v>
      </c>
      <c r="E1598" t="s">
        <v>47</v>
      </c>
      <c r="F1598" t="s">
        <v>146</v>
      </c>
      <c r="G1598">
        <v>-1700</v>
      </c>
      <c r="H1598" t="s">
        <v>147</v>
      </c>
      <c r="I1598" t="s">
        <v>148</v>
      </c>
    </row>
    <row r="1599" spans="1:9">
      <c r="A1599" s="50">
        <v>45636</v>
      </c>
      <c r="B1599" s="51">
        <v>0.4974652777777778</v>
      </c>
      <c r="C1599" t="s">
        <v>151</v>
      </c>
      <c r="D1599" t="s">
        <v>151</v>
      </c>
      <c r="E1599" t="s">
        <v>47</v>
      </c>
      <c r="F1599" t="s">
        <v>564</v>
      </c>
      <c r="G1599">
        <v>30000</v>
      </c>
      <c r="H1599" t="s">
        <v>147</v>
      </c>
      <c r="I1599" t="s">
        <v>57</v>
      </c>
    </row>
    <row r="1600" spans="1:9">
      <c r="A1600" s="50">
        <v>45636</v>
      </c>
      <c r="B1600" s="51">
        <v>0.4159375</v>
      </c>
      <c r="C1600" t="s">
        <v>151</v>
      </c>
      <c r="D1600" t="s">
        <v>160</v>
      </c>
      <c r="E1600" t="s">
        <v>47</v>
      </c>
      <c r="F1600" t="s">
        <v>7</v>
      </c>
      <c r="G1600">
        <v>63424</v>
      </c>
      <c r="H1600" t="s">
        <v>147</v>
      </c>
      <c r="I1600" t="s">
        <v>57</v>
      </c>
    </row>
    <row r="1601" spans="1:9">
      <c r="A1601" s="50">
        <v>45636</v>
      </c>
      <c r="B1601" s="51">
        <v>0.2890277777777778</v>
      </c>
      <c r="C1601" t="s">
        <v>145</v>
      </c>
      <c r="D1601" t="s">
        <v>34</v>
      </c>
      <c r="E1601" t="s">
        <v>47</v>
      </c>
      <c r="F1601" t="s">
        <v>146</v>
      </c>
      <c r="G1601">
        <v>-1700</v>
      </c>
      <c r="H1601" t="s">
        <v>147</v>
      </c>
      <c r="I1601" t="s">
        <v>148</v>
      </c>
    </row>
    <row r="1602" spans="1:9">
      <c r="A1602" s="50">
        <v>45635</v>
      </c>
      <c r="B1602" s="51">
        <v>0.76125</v>
      </c>
      <c r="C1602" t="s">
        <v>145</v>
      </c>
      <c r="D1602" t="s">
        <v>41</v>
      </c>
      <c r="E1602" t="s">
        <v>47</v>
      </c>
      <c r="F1602" t="s">
        <v>157</v>
      </c>
      <c r="G1602">
        <v>-22600</v>
      </c>
      <c r="H1602" t="s">
        <v>147</v>
      </c>
      <c r="I1602" t="s">
        <v>57</v>
      </c>
    </row>
    <row r="1603" spans="1:9">
      <c r="A1603" s="50">
        <v>45635</v>
      </c>
      <c r="B1603" s="51">
        <v>0.5329976851851852</v>
      </c>
      <c r="C1603" t="s">
        <v>145</v>
      </c>
      <c r="D1603" t="s">
        <v>36</v>
      </c>
      <c r="E1603" t="s">
        <v>47</v>
      </c>
      <c r="F1603" t="s">
        <v>262</v>
      </c>
      <c r="G1603">
        <v>-193000</v>
      </c>
      <c r="H1603" t="s">
        <v>147</v>
      </c>
      <c r="I1603" t="s">
        <v>57</v>
      </c>
    </row>
    <row r="1604" spans="1:9">
      <c r="A1604" s="50">
        <v>45635</v>
      </c>
      <c r="B1604" s="51">
        <v>0.5278125</v>
      </c>
      <c r="C1604" t="s">
        <v>151</v>
      </c>
      <c r="D1604" t="s">
        <v>160</v>
      </c>
      <c r="E1604" t="s">
        <v>47</v>
      </c>
      <c r="F1604" t="s">
        <v>7</v>
      </c>
      <c r="G1604">
        <v>200000</v>
      </c>
      <c r="H1604" t="s">
        <v>147</v>
      </c>
      <c r="I1604" t="s">
        <v>57</v>
      </c>
    </row>
    <row r="1605" spans="1:9">
      <c r="A1605" s="50">
        <v>45635</v>
      </c>
      <c r="B1605" s="51">
        <v>0.4357523148148148</v>
      </c>
      <c r="C1605" t="s">
        <v>151</v>
      </c>
      <c r="D1605" t="s">
        <v>236</v>
      </c>
      <c r="E1605" t="s">
        <v>47</v>
      </c>
      <c r="F1605" t="s">
        <v>565</v>
      </c>
      <c r="G1605">
        <v>-40000</v>
      </c>
      <c r="H1605" t="s">
        <v>147</v>
      </c>
      <c r="I1605" t="s">
        <v>57</v>
      </c>
    </row>
    <row r="1606" spans="1:9">
      <c r="A1606" s="50">
        <v>45635</v>
      </c>
      <c r="B1606" s="51">
        <v>0.3754282407407407</v>
      </c>
      <c r="C1606" t="s">
        <v>151</v>
      </c>
      <c r="D1606" t="s">
        <v>236</v>
      </c>
      <c r="E1606" t="s">
        <v>47</v>
      </c>
      <c r="F1606" t="s">
        <v>565</v>
      </c>
      <c r="G1606">
        <v>-40000</v>
      </c>
      <c r="H1606" t="s">
        <v>147</v>
      </c>
      <c r="I1606" t="s">
        <v>57</v>
      </c>
    </row>
    <row r="1607" spans="1:9">
      <c r="A1607" s="50">
        <v>45633</v>
      </c>
      <c r="B1607" s="51">
        <v>0.7032291666666667</v>
      </c>
      <c r="C1607" t="s">
        <v>145</v>
      </c>
      <c r="D1607" t="s">
        <v>42</v>
      </c>
      <c r="E1607" t="s">
        <v>47</v>
      </c>
      <c r="F1607" t="s">
        <v>253</v>
      </c>
      <c r="G1607">
        <v>-38000</v>
      </c>
      <c r="H1607" t="s">
        <v>147</v>
      </c>
      <c r="I1607" t="s">
        <v>148</v>
      </c>
    </row>
    <row r="1608" spans="1:9">
      <c r="A1608" s="50">
        <v>45633</v>
      </c>
      <c r="B1608" s="51">
        <v>0.6340509259259259</v>
      </c>
      <c r="C1608" t="s">
        <v>149</v>
      </c>
      <c r="D1608" t="s">
        <v>29</v>
      </c>
      <c r="E1608" t="s">
        <v>47</v>
      </c>
      <c r="F1608" t="s">
        <v>448</v>
      </c>
      <c r="G1608">
        <v>5000</v>
      </c>
      <c r="H1608" t="s">
        <v>147</v>
      </c>
      <c r="I1608" t="s">
        <v>57</v>
      </c>
    </row>
    <row r="1609" spans="1:9">
      <c r="A1609" s="50">
        <v>45633</v>
      </c>
      <c r="B1609" s="51">
        <v>0.2878703703703704</v>
      </c>
      <c r="C1609" t="s">
        <v>145</v>
      </c>
      <c r="D1609" t="s">
        <v>34</v>
      </c>
      <c r="E1609" t="s">
        <v>47</v>
      </c>
      <c r="F1609" t="s">
        <v>146</v>
      </c>
      <c r="G1609">
        <v>-1700</v>
      </c>
      <c r="H1609" t="s">
        <v>147</v>
      </c>
      <c r="I1609" t="s">
        <v>148</v>
      </c>
    </row>
    <row r="1610" spans="1:9">
      <c r="A1610" s="50">
        <v>45632</v>
      </c>
      <c r="B1610" s="51">
        <v>0.852199074074074</v>
      </c>
      <c r="C1610" t="s">
        <v>145</v>
      </c>
      <c r="D1610" t="s">
        <v>40</v>
      </c>
      <c r="E1610" t="s">
        <v>47</v>
      </c>
      <c r="F1610" t="s">
        <v>566</v>
      </c>
      <c r="G1610">
        <v>-34000</v>
      </c>
      <c r="H1610" t="s">
        <v>147</v>
      </c>
      <c r="I1610" t="s">
        <v>148</v>
      </c>
    </row>
    <row r="1611" spans="1:9">
      <c r="A1611" s="50">
        <v>45632</v>
      </c>
      <c r="B1611" s="51">
        <v>0.8211805555555556</v>
      </c>
      <c r="C1611" t="s">
        <v>145</v>
      </c>
      <c r="D1611" t="s">
        <v>34</v>
      </c>
      <c r="E1611" t="s">
        <v>47</v>
      </c>
      <c r="F1611" t="s">
        <v>146</v>
      </c>
      <c r="G1611">
        <v>-1700</v>
      </c>
      <c r="H1611" t="s">
        <v>147</v>
      </c>
      <c r="I1611" t="s">
        <v>148</v>
      </c>
    </row>
    <row r="1612" spans="1:9">
      <c r="A1612" s="50">
        <v>45632</v>
      </c>
      <c r="B1612" s="51">
        <v>0.7667939814814815</v>
      </c>
      <c r="C1612" t="s">
        <v>151</v>
      </c>
      <c r="D1612" t="s">
        <v>151</v>
      </c>
      <c r="E1612" t="s">
        <v>47</v>
      </c>
      <c r="F1612" t="s">
        <v>567</v>
      </c>
      <c r="G1612">
        <v>-910000</v>
      </c>
      <c r="H1612" t="s">
        <v>147</v>
      </c>
      <c r="I1612" t="s">
        <v>61</v>
      </c>
    </row>
    <row r="1613" spans="1:9">
      <c r="A1613" s="50">
        <v>45632</v>
      </c>
      <c r="B1613" s="51">
        <v>0.2881828703703704</v>
      </c>
      <c r="C1613" t="s">
        <v>145</v>
      </c>
      <c r="D1613" t="s">
        <v>34</v>
      </c>
      <c r="E1613" t="s">
        <v>47</v>
      </c>
      <c r="F1613" t="s">
        <v>146</v>
      </c>
      <c r="G1613">
        <v>-1700</v>
      </c>
      <c r="H1613" t="s">
        <v>147</v>
      </c>
      <c r="I1613" t="s">
        <v>148</v>
      </c>
    </row>
    <row r="1614" spans="1:9">
      <c r="A1614" s="50">
        <v>45631</v>
      </c>
      <c r="B1614" s="51">
        <v>0.8189351851851852</v>
      </c>
      <c r="C1614" t="s">
        <v>151</v>
      </c>
      <c r="D1614" t="s">
        <v>151</v>
      </c>
      <c r="E1614" t="s">
        <v>47</v>
      </c>
      <c r="F1614" t="s">
        <v>568</v>
      </c>
      <c r="G1614">
        <v>-210000</v>
      </c>
      <c r="H1614" t="s">
        <v>147</v>
      </c>
      <c r="I1614" t="s">
        <v>61</v>
      </c>
    </row>
    <row r="1615" spans="1:9">
      <c r="A1615" s="50">
        <v>45631</v>
      </c>
      <c r="B1615" s="51">
        <v>0.7799884259259259</v>
      </c>
      <c r="C1615" t="s">
        <v>145</v>
      </c>
      <c r="D1615" t="s">
        <v>42</v>
      </c>
      <c r="E1615" t="s">
        <v>47</v>
      </c>
      <c r="F1615" t="s">
        <v>153</v>
      </c>
      <c r="G1615">
        <v>-43900</v>
      </c>
      <c r="H1615" t="s">
        <v>147</v>
      </c>
      <c r="I1615" t="s">
        <v>154</v>
      </c>
    </row>
    <row r="1616" spans="1:9">
      <c r="A1616" s="50">
        <v>45631</v>
      </c>
      <c r="B1616" s="51">
        <v>0.7772222222222223</v>
      </c>
      <c r="C1616" t="s">
        <v>145</v>
      </c>
      <c r="D1616" t="s">
        <v>42</v>
      </c>
      <c r="E1616" t="s">
        <v>47</v>
      </c>
      <c r="F1616" t="s">
        <v>153</v>
      </c>
      <c r="G1616">
        <v>-29000</v>
      </c>
      <c r="H1616" t="s">
        <v>147</v>
      </c>
      <c r="I1616" t="s">
        <v>154</v>
      </c>
    </row>
    <row r="1617" spans="1:9">
      <c r="A1617" s="50">
        <v>45631</v>
      </c>
      <c r="B1617" s="51">
        <v>0.7772222222222223</v>
      </c>
      <c r="C1617" t="s">
        <v>151</v>
      </c>
      <c r="D1617" t="s">
        <v>160</v>
      </c>
      <c r="E1617" t="s">
        <v>47</v>
      </c>
      <c r="F1617" t="s">
        <v>163</v>
      </c>
      <c r="G1617">
        <v>-26000</v>
      </c>
      <c r="H1617" t="s">
        <v>147</v>
      </c>
      <c r="I1617" t="s">
        <v>57</v>
      </c>
    </row>
    <row r="1618" spans="1:9">
      <c r="A1618" s="50">
        <v>45631</v>
      </c>
      <c r="B1618" s="51">
        <v>0.7772222222222223</v>
      </c>
      <c r="C1618" t="s">
        <v>151</v>
      </c>
      <c r="D1618" t="s">
        <v>160</v>
      </c>
      <c r="E1618" t="s">
        <v>47</v>
      </c>
      <c r="F1618" t="s">
        <v>161</v>
      </c>
      <c r="G1618">
        <v>26000</v>
      </c>
      <c r="H1618" t="s">
        <v>147</v>
      </c>
      <c r="I1618" t="s">
        <v>162</v>
      </c>
    </row>
    <row r="1619" spans="1:9">
      <c r="A1619" s="50">
        <v>45631</v>
      </c>
      <c r="B1619" s="51">
        <v>0.6728009259259259</v>
      </c>
      <c r="C1619" t="s">
        <v>145</v>
      </c>
      <c r="D1619" t="s">
        <v>34</v>
      </c>
      <c r="E1619" t="s">
        <v>47</v>
      </c>
      <c r="F1619" t="s">
        <v>146</v>
      </c>
      <c r="G1619">
        <v>-1700</v>
      </c>
      <c r="H1619" t="s">
        <v>147</v>
      </c>
      <c r="I1619" t="s">
        <v>148</v>
      </c>
    </row>
    <row r="1620" spans="1:9">
      <c r="A1620" s="50">
        <v>45631</v>
      </c>
      <c r="B1620" s="51">
        <v>0.288275462962963</v>
      </c>
      <c r="C1620" t="s">
        <v>145</v>
      </c>
      <c r="D1620" t="s">
        <v>34</v>
      </c>
      <c r="E1620" t="s">
        <v>47</v>
      </c>
      <c r="F1620" t="s">
        <v>146</v>
      </c>
      <c r="G1620">
        <v>-1700</v>
      </c>
      <c r="H1620" t="s">
        <v>147</v>
      </c>
      <c r="I1620" t="s">
        <v>148</v>
      </c>
    </row>
    <row r="1621" spans="1:9">
      <c r="A1621" s="50">
        <v>45631</v>
      </c>
      <c r="B1621" s="51">
        <v>0.2392592592592593</v>
      </c>
      <c r="C1621" t="s">
        <v>145</v>
      </c>
      <c r="D1621" t="s">
        <v>47</v>
      </c>
      <c r="E1621" t="s">
        <v>47</v>
      </c>
      <c r="F1621" t="s">
        <v>569</v>
      </c>
      <c r="G1621">
        <v>-1900</v>
      </c>
      <c r="H1621" t="s">
        <v>147</v>
      </c>
      <c r="I1621" t="s">
        <v>165</v>
      </c>
    </row>
    <row r="1622" spans="1:9">
      <c r="A1622" s="50">
        <v>45631</v>
      </c>
      <c r="B1622" s="51">
        <v>0.2392592592592593</v>
      </c>
      <c r="C1622" t="s">
        <v>145</v>
      </c>
      <c r="D1622" t="s">
        <v>34</v>
      </c>
      <c r="E1622" t="s">
        <v>47</v>
      </c>
      <c r="F1622" t="s">
        <v>570</v>
      </c>
      <c r="G1622">
        <v>-1700</v>
      </c>
      <c r="H1622" t="s">
        <v>147</v>
      </c>
      <c r="I1622" t="s">
        <v>165</v>
      </c>
    </row>
    <row r="1623" spans="1:9">
      <c r="A1623" s="50">
        <v>45630</v>
      </c>
      <c r="B1623" s="51">
        <v>0.7384143518518519</v>
      </c>
      <c r="C1623" t="s">
        <v>145</v>
      </c>
      <c r="D1623" t="s">
        <v>34</v>
      </c>
      <c r="E1623" t="s">
        <v>47</v>
      </c>
      <c r="F1623" t="s">
        <v>146</v>
      </c>
      <c r="G1623">
        <v>-1700</v>
      </c>
      <c r="H1623" t="s">
        <v>147</v>
      </c>
      <c r="I1623" t="s">
        <v>148</v>
      </c>
    </row>
    <row r="1624" spans="1:9">
      <c r="A1624" s="50">
        <v>45630</v>
      </c>
      <c r="B1624" s="51">
        <v>0.71875</v>
      </c>
      <c r="C1624" t="s">
        <v>145</v>
      </c>
      <c r="D1624" t="s">
        <v>38</v>
      </c>
      <c r="E1624" t="s">
        <v>47</v>
      </c>
      <c r="F1624" t="s">
        <v>155</v>
      </c>
      <c r="G1624">
        <v>-12300</v>
      </c>
      <c r="H1624" t="s">
        <v>147</v>
      </c>
      <c r="I1624" t="s">
        <v>148</v>
      </c>
    </row>
    <row r="1625" spans="1:9">
      <c r="A1625" s="50">
        <v>45630</v>
      </c>
      <c r="B1625" s="51">
        <v>0.4230092592592593</v>
      </c>
      <c r="C1625" t="s">
        <v>151</v>
      </c>
      <c r="D1625" t="s">
        <v>160</v>
      </c>
      <c r="E1625" t="s">
        <v>47</v>
      </c>
      <c r="F1625" t="s">
        <v>7</v>
      </c>
      <c r="G1625">
        <v>-200000</v>
      </c>
      <c r="H1625" t="s">
        <v>147</v>
      </c>
      <c r="I1625" t="s">
        <v>61</v>
      </c>
    </row>
    <row r="1626" spans="1:9">
      <c r="A1626" s="50">
        <v>45630</v>
      </c>
      <c r="B1626" s="51">
        <v>0.2880208333333333</v>
      </c>
      <c r="C1626" t="s">
        <v>145</v>
      </c>
      <c r="D1626" t="s">
        <v>34</v>
      </c>
      <c r="E1626" t="s">
        <v>47</v>
      </c>
      <c r="F1626" t="s">
        <v>146</v>
      </c>
      <c r="G1626">
        <v>-1700</v>
      </c>
      <c r="H1626" t="s">
        <v>147</v>
      </c>
      <c r="I1626" t="s">
        <v>148</v>
      </c>
    </row>
    <row r="1627" spans="1:9">
      <c r="A1627" s="50">
        <v>45629</v>
      </c>
      <c r="B1627" s="51">
        <v>0.7856828703703703</v>
      </c>
      <c r="C1627" t="s">
        <v>145</v>
      </c>
      <c r="D1627" t="s">
        <v>38</v>
      </c>
      <c r="E1627" t="s">
        <v>47</v>
      </c>
      <c r="F1627" t="s">
        <v>155</v>
      </c>
      <c r="G1627">
        <v>-6580</v>
      </c>
      <c r="H1627" t="s">
        <v>147</v>
      </c>
      <c r="I1627" t="s">
        <v>148</v>
      </c>
    </row>
    <row r="1628" spans="1:9">
      <c r="A1628" s="50">
        <v>45629</v>
      </c>
      <c r="B1628" s="51">
        <v>0.7348263888888888</v>
      </c>
      <c r="C1628" t="s">
        <v>145</v>
      </c>
      <c r="D1628" t="s">
        <v>34</v>
      </c>
      <c r="E1628" t="s">
        <v>47</v>
      </c>
      <c r="F1628" t="s">
        <v>146</v>
      </c>
      <c r="G1628">
        <v>-1700</v>
      </c>
      <c r="H1628" t="s">
        <v>147</v>
      </c>
      <c r="I1628" t="s">
        <v>148</v>
      </c>
    </row>
    <row r="1629" spans="1:9">
      <c r="A1629" s="50">
        <v>45629</v>
      </c>
      <c r="B1629" s="51">
        <v>0.2866087962962963</v>
      </c>
      <c r="C1629" t="s">
        <v>145</v>
      </c>
      <c r="D1629" t="s">
        <v>34</v>
      </c>
      <c r="E1629" t="s">
        <v>47</v>
      </c>
      <c r="F1629" t="s">
        <v>146</v>
      </c>
      <c r="G1629">
        <v>-1700</v>
      </c>
      <c r="H1629" t="s">
        <v>147</v>
      </c>
      <c r="I1629" t="s">
        <v>148</v>
      </c>
    </row>
    <row r="1630" spans="1:9">
      <c r="A1630" s="50">
        <v>45626</v>
      </c>
      <c r="B1630" s="51">
        <v>0.7000231481481481</v>
      </c>
      <c r="C1630" t="s">
        <v>145</v>
      </c>
      <c r="D1630" t="s">
        <v>34</v>
      </c>
      <c r="E1630" t="s">
        <v>47</v>
      </c>
      <c r="F1630" t="s">
        <v>146</v>
      </c>
      <c r="G1630">
        <v>-1700</v>
      </c>
      <c r="H1630" t="s">
        <v>147</v>
      </c>
      <c r="I1630" t="s">
        <v>148</v>
      </c>
    </row>
    <row r="1631" spans="1:9">
      <c r="A1631" s="50">
        <v>45626</v>
      </c>
      <c r="B1631" s="51">
        <v>0.6654976851851852</v>
      </c>
      <c r="C1631" t="s">
        <v>145</v>
      </c>
      <c r="D1631" t="s">
        <v>40</v>
      </c>
      <c r="E1631" t="s">
        <v>47</v>
      </c>
      <c r="F1631" t="s">
        <v>571</v>
      </c>
      <c r="G1631">
        <v>-29900</v>
      </c>
      <c r="H1631" t="s">
        <v>147</v>
      </c>
      <c r="I1631" t="s">
        <v>148</v>
      </c>
    </row>
    <row r="1632" spans="1:9">
      <c r="A1632" s="50">
        <v>45625</v>
      </c>
      <c r="B1632" s="51">
        <v>0.9888078703703703</v>
      </c>
      <c r="C1632" t="s">
        <v>145</v>
      </c>
      <c r="D1632" t="s">
        <v>42</v>
      </c>
      <c r="E1632" t="s">
        <v>47</v>
      </c>
      <c r="F1632" t="s">
        <v>170</v>
      </c>
      <c r="G1632">
        <v>-43260</v>
      </c>
      <c r="H1632" t="s">
        <v>147</v>
      </c>
      <c r="I1632" t="s">
        <v>148</v>
      </c>
    </row>
    <row r="1633" spans="1:9">
      <c r="A1633" s="50">
        <v>45625</v>
      </c>
      <c r="B1633" s="51">
        <v>0.7402083333333334</v>
      </c>
      <c r="C1633" t="s">
        <v>151</v>
      </c>
      <c r="D1633" t="s">
        <v>151</v>
      </c>
      <c r="E1633" t="s">
        <v>47</v>
      </c>
      <c r="F1633" t="s">
        <v>572</v>
      </c>
      <c r="G1633">
        <v>-7000</v>
      </c>
      <c r="H1633" t="s">
        <v>147</v>
      </c>
      <c r="I1633" t="s">
        <v>162</v>
      </c>
    </row>
    <row r="1634" spans="1:9">
      <c r="A1634" s="50">
        <v>45625</v>
      </c>
      <c r="B1634" s="51">
        <v>0.7401967592592592</v>
      </c>
      <c r="C1634" t="s">
        <v>151</v>
      </c>
      <c r="D1634" t="s">
        <v>160</v>
      </c>
      <c r="E1634" t="s">
        <v>47</v>
      </c>
      <c r="F1634" t="s">
        <v>163</v>
      </c>
      <c r="G1634">
        <v>-10000</v>
      </c>
      <c r="H1634" t="s">
        <v>147</v>
      </c>
      <c r="I1634" t="s">
        <v>57</v>
      </c>
    </row>
    <row r="1635" spans="1:9">
      <c r="A1635" s="50">
        <v>45625</v>
      </c>
      <c r="B1635" s="51">
        <v>0.7401967592592592</v>
      </c>
      <c r="C1635" t="s">
        <v>151</v>
      </c>
      <c r="D1635" t="s">
        <v>160</v>
      </c>
      <c r="E1635" t="s">
        <v>47</v>
      </c>
      <c r="F1635" t="s">
        <v>161</v>
      </c>
      <c r="G1635">
        <v>10000</v>
      </c>
      <c r="H1635" t="s">
        <v>147</v>
      </c>
      <c r="I1635" t="s">
        <v>162</v>
      </c>
    </row>
    <row r="1636" spans="1:9">
      <c r="A1636" s="50">
        <v>45625</v>
      </c>
      <c r="B1636" s="51">
        <v>0.57</v>
      </c>
      <c r="C1636" t="s">
        <v>145</v>
      </c>
      <c r="D1636" t="s">
        <v>45</v>
      </c>
      <c r="E1636" t="s">
        <v>47</v>
      </c>
      <c r="F1636" t="s">
        <v>573</v>
      </c>
      <c r="G1636">
        <v>-46300</v>
      </c>
      <c r="H1636" t="s">
        <v>147</v>
      </c>
      <c r="I1636" t="s">
        <v>165</v>
      </c>
    </row>
    <row r="1637" spans="1:9">
      <c r="A1637" s="50">
        <v>45625</v>
      </c>
      <c r="B1637" s="51">
        <v>0.5634953703703703</v>
      </c>
      <c r="C1637" t="s">
        <v>145</v>
      </c>
      <c r="D1637" t="s">
        <v>40</v>
      </c>
      <c r="E1637" t="s">
        <v>47</v>
      </c>
      <c r="F1637" t="s">
        <v>574</v>
      </c>
      <c r="G1637">
        <v>-264000</v>
      </c>
      <c r="H1637" t="s">
        <v>147</v>
      </c>
      <c r="I1637" t="s">
        <v>165</v>
      </c>
    </row>
    <row r="1638" spans="1:9">
      <c r="A1638" s="50">
        <v>45623</v>
      </c>
      <c r="B1638" s="51">
        <v>0.520150462962963</v>
      </c>
      <c r="C1638" t="s">
        <v>145</v>
      </c>
      <c r="D1638" t="s">
        <v>38</v>
      </c>
      <c r="E1638" t="s">
        <v>47</v>
      </c>
      <c r="F1638" t="s">
        <v>489</v>
      </c>
      <c r="G1638">
        <v>-2800</v>
      </c>
      <c r="H1638" t="s">
        <v>147</v>
      </c>
      <c r="I1638" t="s">
        <v>148</v>
      </c>
    </row>
    <row r="1639" spans="1:9">
      <c r="A1639" s="50">
        <v>45622</v>
      </c>
      <c r="B1639" s="51">
        <v>0.7630555555555556</v>
      </c>
      <c r="C1639" t="s">
        <v>145</v>
      </c>
      <c r="D1639" t="s">
        <v>35</v>
      </c>
      <c r="E1639" t="s">
        <v>47</v>
      </c>
      <c r="F1639" t="s">
        <v>202</v>
      </c>
      <c r="G1639">
        <v>-10000</v>
      </c>
      <c r="H1639" t="s">
        <v>147</v>
      </c>
      <c r="I1639" t="s">
        <v>57</v>
      </c>
    </row>
    <row r="1640" spans="1:9">
      <c r="A1640" s="50">
        <v>45622</v>
      </c>
      <c r="B1640" s="51">
        <v>0.7373148148148149</v>
      </c>
      <c r="C1640" t="s">
        <v>145</v>
      </c>
      <c r="D1640" t="s">
        <v>38</v>
      </c>
      <c r="E1640" t="s">
        <v>47</v>
      </c>
      <c r="F1640" t="s">
        <v>510</v>
      </c>
      <c r="G1640">
        <v>-2500</v>
      </c>
      <c r="H1640" t="s">
        <v>147</v>
      </c>
      <c r="I1640" t="s">
        <v>148</v>
      </c>
    </row>
    <row r="1641" spans="1:9">
      <c r="A1641" s="50">
        <v>45622</v>
      </c>
      <c r="B1641" s="51">
        <v>0.3202546296296296</v>
      </c>
      <c r="C1641" t="s">
        <v>145</v>
      </c>
      <c r="D1641" t="s">
        <v>42</v>
      </c>
      <c r="E1641" t="s">
        <v>47</v>
      </c>
      <c r="F1641" t="s">
        <v>159</v>
      </c>
      <c r="G1641">
        <v>-8990</v>
      </c>
      <c r="H1641" t="s">
        <v>147</v>
      </c>
      <c r="I1641" t="s">
        <v>148</v>
      </c>
    </row>
    <row r="1642" spans="1:9">
      <c r="A1642" s="50">
        <v>45621</v>
      </c>
      <c r="B1642" s="51">
        <v>0.8135532407407408</v>
      </c>
      <c r="C1642" t="s">
        <v>145</v>
      </c>
      <c r="D1642" t="s">
        <v>35</v>
      </c>
      <c r="E1642" t="s">
        <v>207</v>
      </c>
      <c r="F1642" t="s">
        <v>208</v>
      </c>
      <c r="G1642">
        <v>-3243</v>
      </c>
      <c r="H1642" t="s">
        <v>147</v>
      </c>
      <c r="I1642" t="s">
        <v>57</v>
      </c>
    </row>
    <row r="1643" spans="1:9">
      <c r="A1643" s="50">
        <v>45621</v>
      </c>
      <c r="B1643" s="51">
        <v>0.8135532407407408</v>
      </c>
      <c r="C1643" t="s">
        <v>145</v>
      </c>
      <c r="D1643" t="s">
        <v>35</v>
      </c>
      <c r="E1643" t="s">
        <v>204</v>
      </c>
      <c r="F1643" t="s">
        <v>575</v>
      </c>
      <c r="G1643">
        <v>-32200</v>
      </c>
      <c r="H1643" t="s">
        <v>147</v>
      </c>
      <c r="I1643" t="s">
        <v>57</v>
      </c>
    </row>
    <row r="1644" spans="1:9">
      <c r="A1644" s="50">
        <v>45621</v>
      </c>
      <c r="B1644" s="51">
        <v>0.7819212962962963</v>
      </c>
      <c r="C1644" t="s">
        <v>151</v>
      </c>
      <c r="D1644" t="s">
        <v>198</v>
      </c>
      <c r="E1644" t="s">
        <v>47</v>
      </c>
      <c r="F1644" t="s">
        <v>211</v>
      </c>
      <c r="G1644">
        <v>-20000</v>
      </c>
      <c r="H1644" t="s">
        <v>147</v>
      </c>
      <c r="I1644" t="s">
        <v>57</v>
      </c>
    </row>
    <row r="1645" spans="1:9">
      <c r="A1645" s="50">
        <v>45621</v>
      </c>
      <c r="B1645" s="51">
        <v>0.7784027777777778</v>
      </c>
      <c r="C1645" t="s">
        <v>145</v>
      </c>
      <c r="D1645" t="s">
        <v>42</v>
      </c>
      <c r="E1645" t="s">
        <v>47</v>
      </c>
      <c r="F1645" t="s">
        <v>576</v>
      </c>
      <c r="G1645">
        <v>-40000</v>
      </c>
      <c r="H1645" t="s">
        <v>147</v>
      </c>
      <c r="I1645" t="s">
        <v>57</v>
      </c>
    </row>
    <row r="1646" spans="1:9">
      <c r="A1646" s="50">
        <v>45621</v>
      </c>
      <c r="B1646" s="51">
        <v>0.7150347222222222</v>
      </c>
      <c r="C1646" t="s">
        <v>151</v>
      </c>
      <c r="D1646" t="s">
        <v>160</v>
      </c>
      <c r="E1646" t="s">
        <v>47</v>
      </c>
      <c r="F1646" t="s">
        <v>7</v>
      </c>
      <c r="G1646">
        <v>-400000</v>
      </c>
      <c r="H1646" t="s">
        <v>147</v>
      </c>
      <c r="I1646" t="s">
        <v>57</v>
      </c>
    </row>
    <row r="1647" spans="1:9">
      <c r="A1647" s="50">
        <v>45621</v>
      </c>
      <c r="B1647" s="51">
        <v>0.7146759259259259</v>
      </c>
      <c r="C1647" t="s">
        <v>151</v>
      </c>
      <c r="D1647" t="s">
        <v>160</v>
      </c>
      <c r="E1647" t="s">
        <v>47</v>
      </c>
      <c r="F1647" t="s">
        <v>7</v>
      </c>
      <c r="G1647">
        <v>1000000</v>
      </c>
      <c r="H1647" t="s">
        <v>147</v>
      </c>
      <c r="I1647" t="s">
        <v>61</v>
      </c>
    </row>
    <row r="1648" spans="1:9">
      <c r="A1648" s="50">
        <v>45621</v>
      </c>
      <c r="B1648" s="51">
        <v>0.7146759259259259</v>
      </c>
      <c r="C1648" t="s">
        <v>151</v>
      </c>
      <c r="D1648" t="s">
        <v>160</v>
      </c>
      <c r="E1648" t="s">
        <v>47</v>
      </c>
      <c r="F1648" t="s">
        <v>7</v>
      </c>
      <c r="G1648">
        <v>-1000000</v>
      </c>
      <c r="H1648" t="s">
        <v>147</v>
      </c>
      <c r="I1648" t="s">
        <v>57</v>
      </c>
    </row>
    <row r="1649" spans="1:9">
      <c r="A1649" s="50">
        <v>45621</v>
      </c>
      <c r="B1649" s="51">
        <v>0.3622337962962963</v>
      </c>
      <c r="C1649" t="s">
        <v>151</v>
      </c>
      <c r="D1649" t="s">
        <v>198</v>
      </c>
      <c r="E1649" t="s">
        <v>47</v>
      </c>
      <c r="F1649" t="s">
        <v>213</v>
      </c>
      <c r="G1649">
        <v>1628850</v>
      </c>
      <c r="H1649" t="s">
        <v>147</v>
      </c>
      <c r="I1649" t="s">
        <v>57</v>
      </c>
    </row>
    <row r="1650" spans="1:9">
      <c r="A1650" s="50">
        <v>45621</v>
      </c>
      <c r="B1650" s="51">
        <v>0.2461111111111111</v>
      </c>
      <c r="C1650" t="s">
        <v>151</v>
      </c>
      <c r="D1650" t="s">
        <v>198</v>
      </c>
      <c r="E1650" t="s">
        <v>47</v>
      </c>
      <c r="F1650" t="s">
        <v>214</v>
      </c>
      <c r="G1650">
        <v>-100000</v>
      </c>
      <c r="H1650" t="s">
        <v>147</v>
      </c>
      <c r="I1650" t="s">
        <v>57</v>
      </c>
    </row>
    <row r="1651" spans="1:9">
      <c r="A1651" s="50">
        <v>45620</v>
      </c>
      <c r="B1651" s="51">
        <v>0.8006481481481481</v>
      </c>
      <c r="C1651" t="s">
        <v>145</v>
      </c>
      <c r="D1651" t="s">
        <v>42</v>
      </c>
      <c r="E1651" t="s">
        <v>47</v>
      </c>
      <c r="F1651" t="s">
        <v>219</v>
      </c>
      <c r="G1651">
        <v>-27400</v>
      </c>
      <c r="H1651" t="s">
        <v>147</v>
      </c>
      <c r="I1651" t="s">
        <v>148</v>
      </c>
    </row>
    <row r="1652" spans="1:9">
      <c r="A1652" s="50">
        <v>45620</v>
      </c>
      <c r="B1652" s="51">
        <v>0.7294328703703704</v>
      </c>
      <c r="C1652" t="s">
        <v>145</v>
      </c>
      <c r="D1652" t="s">
        <v>35</v>
      </c>
      <c r="E1652" t="s">
        <v>47</v>
      </c>
      <c r="F1652" t="s">
        <v>197</v>
      </c>
      <c r="G1652">
        <v>-36000</v>
      </c>
      <c r="H1652" t="s">
        <v>147</v>
      </c>
      <c r="I1652" t="s">
        <v>162</v>
      </c>
    </row>
    <row r="1653" spans="1:9">
      <c r="A1653" s="50">
        <v>45620</v>
      </c>
      <c r="B1653" s="51">
        <v>0.7294212962962963</v>
      </c>
      <c r="C1653" t="s">
        <v>151</v>
      </c>
      <c r="D1653" t="s">
        <v>160</v>
      </c>
      <c r="E1653" t="s">
        <v>47</v>
      </c>
      <c r="F1653" t="s">
        <v>163</v>
      </c>
      <c r="G1653">
        <v>-29900</v>
      </c>
      <c r="H1653" t="s">
        <v>147</v>
      </c>
      <c r="I1653" t="s">
        <v>57</v>
      </c>
    </row>
    <row r="1654" spans="1:9">
      <c r="A1654" s="50">
        <v>45620</v>
      </c>
      <c r="B1654" s="51">
        <v>0.7294212962962963</v>
      </c>
      <c r="C1654" t="s">
        <v>151</v>
      </c>
      <c r="D1654" t="s">
        <v>160</v>
      </c>
      <c r="E1654" t="s">
        <v>47</v>
      </c>
      <c r="F1654" t="s">
        <v>161</v>
      </c>
      <c r="G1654">
        <v>29900</v>
      </c>
      <c r="H1654" t="s">
        <v>147</v>
      </c>
      <c r="I1654" t="s">
        <v>162</v>
      </c>
    </row>
    <row r="1655" spans="1:9">
      <c r="A1655" s="50">
        <v>45620</v>
      </c>
      <c r="B1655" s="51">
        <v>0.3757291666666667</v>
      </c>
      <c r="C1655" t="s">
        <v>145</v>
      </c>
      <c r="D1655" t="s">
        <v>42</v>
      </c>
      <c r="E1655" t="s">
        <v>47</v>
      </c>
      <c r="F1655" t="s">
        <v>153</v>
      </c>
      <c r="G1655">
        <v>-3900</v>
      </c>
      <c r="H1655" t="s">
        <v>147</v>
      </c>
      <c r="I1655" t="s">
        <v>154</v>
      </c>
    </row>
    <row r="1656" spans="1:9">
      <c r="A1656" s="50">
        <v>45620</v>
      </c>
      <c r="B1656" s="51">
        <v>0.3757291666666667</v>
      </c>
      <c r="C1656" t="s">
        <v>151</v>
      </c>
      <c r="D1656" t="s">
        <v>160</v>
      </c>
      <c r="E1656" t="s">
        <v>47</v>
      </c>
      <c r="F1656" t="s">
        <v>163</v>
      </c>
      <c r="G1656">
        <v>-10000</v>
      </c>
      <c r="H1656" t="s">
        <v>147</v>
      </c>
      <c r="I1656" t="s">
        <v>57</v>
      </c>
    </row>
    <row r="1657" spans="1:9">
      <c r="A1657" s="50">
        <v>45620</v>
      </c>
      <c r="B1657" s="51">
        <v>0.3757291666666667</v>
      </c>
      <c r="C1657" t="s">
        <v>151</v>
      </c>
      <c r="D1657" t="s">
        <v>160</v>
      </c>
      <c r="E1657" t="s">
        <v>47</v>
      </c>
      <c r="F1657" t="s">
        <v>161</v>
      </c>
      <c r="G1657">
        <v>10000</v>
      </c>
      <c r="H1657" t="s">
        <v>147</v>
      </c>
      <c r="I1657" t="s">
        <v>162</v>
      </c>
    </row>
    <row r="1658" spans="1:9">
      <c r="A1658" s="50">
        <v>45619</v>
      </c>
      <c r="B1658" s="51">
        <v>0.4862384259259259</v>
      </c>
      <c r="C1658" t="s">
        <v>145</v>
      </c>
      <c r="D1658" t="s">
        <v>42</v>
      </c>
      <c r="E1658" t="s">
        <v>47</v>
      </c>
      <c r="F1658" t="s">
        <v>153</v>
      </c>
      <c r="G1658">
        <v>-56000</v>
      </c>
      <c r="H1658" t="s">
        <v>147</v>
      </c>
      <c r="I1658" t="s">
        <v>154</v>
      </c>
    </row>
    <row r="1659" spans="1:9">
      <c r="A1659" s="50">
        <v>45617</v>
      </c>
      <c r="B1659" s="51">
        <v>0.891875</v>
      </c>
      <c r="C1659" t="s">
        <v>151</v>
      </c>
      <c r="D1659" t="s">
        <v>160</v>
      </c>
      <c r="E1659" t="s">
        <v>47</v>
      </c>
      <c r="F1659" t="s">
        <v>7</v>
      </c>
      <c r="G1659">
        <v>500000</v>
      </c>
      <c r="H1659" t="s">
        <v>147</v>
      </c>
      <c r="I1659" t="s">
        <v>61</v>
      </c>
    </row>
    <row r="1660" spans="1:9">
      <c r="A1660" s="50">
        <v>45617</v>
      </c>
      <c r="B1660" s="51">
        <v>0.891875</v>
      </c>
      <c r="C1660" t="s">
        <v>151</v>
      </c>
      <c r="D1660" t="s">
        <v>160</v>
      </c>
      <c r="E1660" t="s">
        <v>47</v>
      </c>
      <c r="F1660" t="s">
        <v>7</v>
      </c>
      <c r="G1660">
        <v>-500000</v>
      </c>
      <c r="H1660" t="s">
        <v>147</v>
      </c>
      <c r="I1660" t="s">
        <v>57</v>
      </c>
    </row>
    <row r="1661" spans="1:9">
      <c r="A1661" s="50">
        <v>45617</v>
      </c>
      <c r="B1661" s="51">
        <v>0.7761342592592593</v>
      </c>
      <c r="C1661" t="s">
        <v>145</v>
      </c>
      <c r="D1661" t="s">
        <v>35</v>
      </c>
      <c r="E1661" t="s">
        <v>204</v>
      </c>
      <c r="F1661" t="s">
        <v>577</v>
      </c>
      <c r="G1661">
        <v>-55670</v>
      </c>
      <c r="H1661" t="s">
        <v>147</v>
      </c>
      <c r="I1661" t="s">
        <v>57</v>
      </c>
    </row>
    <row r="1662" spans="1:9">
      <c r="A1662" s="50">
        <v>45617</v>
      </c>
      <c r="B1662" s="51">
        <v>0.7641666666666667</v>
      </c>
      <c r="C1662" t="s">
        <v>145</v>
      </c>
      <c r="D1662" t="s">
        <v>44</v>
      </c>
      <c r="E1662" t="s">
        <v>220</v>
      </c>
      <c r="F1662" t="s">
        <v>221</v>
      </c>
      <c r="G1662">
        <v>-81480</v>
      </c>
      <c r="H1662" t="s">
        <v>147</v>
      </c>
      <c r="I1662" t="s">
        <v>57</v>
      </c>
    </row>
    <row r="1663" spans="1:9">
      <c r="A1663" s="50">
        <v>45617</v>
      </c>
      <c r="B1663" s="51">
        <v>0.4837731481481481</v>
      </c>
      <c r="C1663" t="s">
        <v>151</v>
      </c>
      <c r="D1663" t="s">
        <v>160</v>
      </c>
      <c r="E1663" t="s">
        <v>47</v>
      </c>
      <c r="F1663" t="s">
        <v>7</v>
      </c>
      <c r="G1663">
        <v>1000000</v>
      </c>
      <c r="H1663" t="s">
        <v>147</v>
      </c>
      <c r="I1663" t="s">
        <v>57</v>
      </c>
    </row>
    <row r="1664" spans="1:9">
      <c r="A1664" s="50">
        <v>45616</v>
      </c>
      <c r="B1664" s="51">
        <v>0.5614236111111112</v>
      </c>
      <c r="C1664" t="s">
        <v>151</v>
      </c>
      <c r="D1664" t="s">
        <v>160</v>
      </c>
      <c r="E1664" t="s">
        <v>47</v>
      </c>
      <c r="F1664" t="s">
        <v>7</v>
      </c>
      <c r="G1664">
        <v>-400000</v>
      </c>
      <c r="H1664" t="s">
        <v>147</v>
      </c>
      <c r="I1664" t="s">
        <v>61</v>
      </c>
    </row>
    <row r="1665" spans="1:9">
      <c r="A1665" s="50">
        <v>45614</v>
      </c>
      <c r="B1665" s="51">
        <v>0.875636574074074</v>
      </c>
      <c r="C1665" t="s">
        <v>145</v>
      </c>
      <c r="D1665" t="s">
        <v>35</v>
      </c>
      <c r="E1665" t="s">
        <v>47</v>
      </c>
      <c r="F1665" t="s">
        <v>197</v>
      </c>
      <c r="G1665">
        <v>-100000</v>
      </c>
      <c r="H1665" t="s">
        <v>147</v>
      </c>
      <c r="I1665" t="s">
        <v>162</v>
      </c>
    </row>
    <row r="1666" spans="1:9">
      <c r="A1666" s="50">
        <v>45614</v>
      </c>
      <c r="B1666" s="51">
        <v>0.875625</v>
      </c>
      <c r="C1666" t="s">
        <v>151</v>
      </c>
      <c r="D1666" t="s">
        <v>160</v>
      </c>
      <c r="E1666" t="s">
        <v>47</v>
      </c>
      <c r="F1666" t="s">
        <v>163</v>
      </c>
      <c r="G1666">
        <v>-93298</v>
      </c>
      <c r="H1666" t="s">
        <v>147</v>
      </c>
      <c r="I1666" t="s">
        <v>57</v>
      </c>
    </row>
    <row r="1667" spans="1:9">
      <c r="A1667" s="50">
        <v>45614</v>
      </c>
      <c r="B1667" s="51">
        <v>0.8756134259259259</v>
      </c>
      <c r="C1667" t="s">
        <v>151</v>
      </c>
      <c r="D1667" t="s">
        <v>160</v>
      </c>
      <c r="E1667" t="s">
        <v>47</v>
      </c>
      <c r="F1667" t="s">
        <v>161</v>
      </c>
      <c r="G1667">
        <v>93298</v>
      </c>
      <c r="H1667" t="s">
        <v>147</v>
      </c>
      <c r="I1667" t="s">
        <v>162</v>
      </c>
    </row>
    <row r="1668" spans="1:9">
      <c r="A1668" s="50">
        <v>45614</v>
      </c>
      <c r="B1668" s="51">
        <v>0.8671296296296296</v>
      </c>
      <c r="C1668" t="s">
        <v>151</v>
      </c>
      <c r="D1668" t="s">
        <v>151</v>
      </c>
      <c r="E1668" t="s">
        <v>47</v>
      </c>
      <c r="F1668" t="s">
        <v>578</v>
      </c>
      <c r="G1668">
        <v>-8700</v>
      </c>
      <c r="H1668" t="s">
        <v>147</v>
      </c>
      <c r="I1668" t="s">
        <v>162</v>
      </c>
    </row>
    <row r="1669" spans="1:9">
      <c r="A1669" s="50">
        <v>45614</v>
      </c>
      <c r="B1669" s="51">
        <v>0.8671180555555555</v>
      </c>
      <c r="C1669" t="s">
        <v>151</v>
      </c>
      <c r="D1669" t="s">
        <v>160</v>
      </c>
      <c r="E1669" t="s">
        <v>47</v>
      </c>
      <c r="F1669" t="s">
        <v>163</v>
      </c>
      <c r="G1669">
        <v>-10000</v>
      </c>
      <c r="H1669" t="s">
        <v>147</v>
      </c>
      <c r="I1669" t="s">
        <v>57</v>
      </c>
    </row>
    <row r="1670" spans="1:9">
      <c r="A1670" s="50">
        <v>45614</v>
      </c>
      <c r="B1670" s="51">
        <v>0.8671180555555555</v>
      </c>
      <c r="C1670" t="s">
        <v>151</v>
      </c>
      <c r="D1670" t="s">
        <v>160</v>
      </c>
      <c r="E1670" t="s">
        <v>47</v>
      </c>
      <c r="F1670" t="s">
        <v>161</v>
      </c>
      <c r="G1670">
        <v>10000</v>
      </c>
      <c r="H1670" t="s">
        <v>147</v>
      </c>
      <c r="I1670" t="s">
        <v>162</v>
      </c>
    </row>
    <row r="1671" spans="1:9">
      <c r="A1671" s="50">
        <v>45614</v>
      </c>
      <c r="B1671" s="51">
        <v>0.7642013888888889</v>
      </c>
      <c r="C1671" t="s">
        <v>145</v>
      </c>
      <c r="D1671" t="s">
        <v>38</v>
      </c>
      <c r="E1671" t="s">
        <v>47</v>
      </c>
      <c r="F1671" t="s">
        <v>579</v>
      </c>
      <c r="G1671">
        <v>-4600</v>
      </c>
      <c r="H1671" t="s">
        <v>147</v>
      </c>
      <c r="I1671" t="s">
        <v>154</v>
      </c>
    </row>
    <row r="1672" spans="1:9">
      <c r="A1672" s="50">
        <v>45614</v>
      </c>
      <c r="B1672" s="51">
        <v>0.7642013888888889</v>
      </c>
      <c r="C1672" t="s">
        <v>151</v>
      </c>
      <c r="D1672" t="s">
        <v>160</v>
      </c>
      <c r="E1672" t="s">
        <v>47</v>
      </c>
      <c r="F1672" t="s">
        <v>163</v>
      </c>
      <c r="G1672">
        <v>-10000</v>
      </c>
      <c r="H1672" t="s">
        <v>147</v>
      </c>
      <c r="I1672" t="s">
        <v>57</v>
      </c>
    </row>
    <row r="1673" spans="1:9">
      <c r="A1673" s="50">
        <v>45614</v>
      </c>
      <c r="B1673" s="51">
        <v>0.7642013888888889</v>
      </c>
      <c r="C1673" t="s">
        <v>151</v>
      </c>
      <c r="D1673" t="s">
        <v>160</v>
      </c>
      <c r="E1673" t="s">
        <v>47</v>
      </c>
      <c r="F1673" t="s">
        <v>161</v>
      </c>
      <c r="G1673">
        <v>10000</v>
      </c>
      <c r="H1673" t="s">
        <v>147</v>
      </c>
      <c r="I1673" t="s">
        <v>162</v>
      </c>
    </row>
    <row r="1674" spans="1:9">
      <c r="A1674" s="50">
        <v>45614</v>
      </c>
      <c r="B1674" s="51">
        <v>0.7551157407407407</v>
      </c>
      <c r="C1674" t="s">
        <v>145</v>
      </c>
      <c r="D1674" t="s">
        <v>34</v>
      </c>
      <c r="E1674" t="s">
        <v>47</v>
      </c>
      <c r="F1674" t="s">
        <v>580</v>
      </c>
      <c r="G1674">
        <v>43100</v>
      </c>
      <c r="H1674" t="s">
        <v>147</v>
      </c>
      <c r="I1674" t="s">
        <v>148</v>
      </c>
    </row>
    <row r="1675" spans="1:9">
      <c r="A1675" s="50">
        <v>45614</v>
      </c>
      <c r="B1675" s="51">
        <v>0.7542592592592593</v>
      </c>
      <c r="C1675" t="s">
        <v>145</v>
      </c>
      <c r="D1675" t="s">
        <v>34</v>
      </c>
      <c r="E1675" t="s">
        <v>47</v>
      </c>
      <c r="F1675" t="s">
        <v>580</v>
      </c>
      <c r="G1675">
        <v>-43500</v>
      </c>
      <c r="H1675" t="s">
        <v>147</v>
      </c>
      <c r="I1675" t="s">
        <v>148</v>
      </c>
    </row>
    <row r="1676" spans="1:9">
      <c r="A1676" s="50">
        <v>45614</v>
      </c>
      <c r="B1676" s="51">
        <v>0.7501851851851852</v>
      </c>
      <c r="C1676" t="s">
        <v>145</v>
      </c>
      <c r="D1676" t="s">
        <v>34</v>
      </c>
      <c r="E1676" t="s">
        <v>47</v>
      </c>
      <c r="F1676" t="s">
        <v>580</v>
      </c>
      <c r="G1676">
        <v>-43100</v>
      </c>
      <c r="H1676" t="s">
        <v>147</v>
      </c>
      <c r="I1676" t="s">
        <v>148</v>
      </c>
    </row>
    <row r="1677" spans="1:9">
      <c r="A1677" s="50">
        <v>45614</v>
      </c>
      <c r="B1677" s="51">
        <v>0.7153240740740741</v>
      </c>
      <c r="C1677" t="s">
        <v>151</v>
      </c>
      <c r="D1677" t="s">
        <v>160</v>
      </c>
      <c r="E1677" t="s">
        <v>47</v>
      </c>
      <c r="F1677" t="s">
        <v>7</v>
      </c>
      <c r="G1677">
        <v>200000</v>
      </c>
      <c r="H1677" t="s">
        <v>147</v>
      </c>
      <c r="I1677" t="s">
        <v>57</v>
      </c>
    </row>
    <row r="1678" spans="1:9">
      <c r="A1678" s="50">
        <v>45613</v>
      </c>
      <c r="B1678" s="51">
        <v>0.4885069444444444</v>
      </c>
      <c r="C1678" t="s">
        <v>145</v>
      </c>
      <c r="D1678" t="s">
        <v>42</v>
      </c>
      <c r="E1678" t="s">
        <v>47</v>
      </c>
      <c r="F1678" t="s">
        <v>216</v>
      </c>
      <c r="G1678">
        <v>-29300</v>
      </c>
      <c r="H1678" t="s">
        <v>147</v>
      </c>
      <c r="I1678" t="s">
        <v>148</v>
      </c>
    </row>
    <row r="1679" spans="1:9">
      <c r="A1679" s="50">
        <v>45613</v>
      </c>
      <c r="B1679" s="51">
        <v>0.4509027777777778</v>
      </c>
      <c r="C1679" t="s">
        <v>145</v>
      </c>
      <c r="D1679" t="s">
        <v>42</v>
      </c>
      <c r="E1679" t="s">
        <v>47</v>
      </c>
      <c r="F1679" t="s">
        <v>223</v>
      </c>
      <c r="G1679">
        <v>-7890</v>
      </c>
      <c r="H1679" t="s">
        <v>147</v>
      </c>
      <c r="I1679" t="s">
        <v>148</v>
      </c>
    </row>
    <row r="1680" spans="1:9">
      <c r="A1680" s="50">
        <v>45612</v>
      </c>
      <c r="B1680" s="51">
        <v>0.7111342592592592</v>
      </c>
      <c r="C1680" t="s">
        <v>151</v>
      </c>
      <c r="D1680" t="s">
        <v>151</v>
      </c>
      <c r="E1680" t="s">
        <v>47</v>
      </c>
      <c r="F1680" t="s">
        <v>581</v>
      </c>
      <c r="G1680">
        <v>-300000</v>
      </c>
      <c r="H1680" t="s">
        <v>147</v>
      </c>
      <c r="I1680" t="s">
        <v>57</v>
      </c>
    </row>
    <row r="1681" spans="1:9">
      <c r="A1681" s="50">
        <v>45611</v>
      </c>
      <c r="B1681" s="51">
        <v>0.775787037037037</v>
      </c>
      <c r="C1681" t="s">
        <v>145</v>
      </c>
      <c r="D1681" t="s">
        <v>35</v>
      </c>
      <c r="E1681" t="s">
        <v>204</v>
      </c>
      <c r="F1681" t="s">
        <v>511</v>
      </c>
      <c r="G1681">
        <v>-28200</v>
      </c>
      <c r="H1681" t="s">
        <v>147</v>
      </c>
      <c r="I1681" t="s">
        <v>57</v>
      </c>
    </row>
    <row r="1682" spans="1:9">
      <c r="A1682" s="50">
        <v>45611</v>
      </c>
      <c r="B1682" s="51">
        <v>0.7637152777777778</v>
      </c>
      <c r="C1682" t="s">
        <v>151</v>
      </c>
      <c r="D1682" t="s">
        <v>151</v>
      </c>
      <c r="E1682" t="s">
        <v>47</v>
      </c>
      <c r="F1682" t="s">
        <v>163</v>
      </c>
      <c r="G1682">
        <v>-50000</v>
      </c>
      <c r="H1682" t="s">
        <v>147</v>
      </c>
      <c r="I1682" t="s">
        <v>57</v>
      </c>
    </row>
    <row r="1683" spans="1:9">
      <c r="A1683" s="50">
        <v>45611</v>
      </c>
      <c r="B1683" s="51">
        <v>0.7526736111111111</v>
      </c>
      <c r="C1683" t="s">
        <v>145</v>
      </c>
      <c r="D1683" t="s">
        <v>40</v>
      </c>
      <c r="E1683" t="s">
        <v>47</v>
      </c>
      <c r="F1683" t="s">
        <v>582</v>
      </c>
      <c r="G1683">
        <v>-3600</v>
      </c>
      <c r="H1683" t="s">
        <v>147</v>
      </c>
      <c r="I1683" t="s">
        <v>148</v>
      </c>
    </row>
    <row r="1684" spans="1:9">
      <c r="A1684" s="50">
        <v>45611</v>
      </c>
      <c r="B1684" s="51">
        <v>0.5745370370370371</v>
      </c>
      <c r="C1684" t="s">
        <v>145</v>
      </c>
      <c r="D1684" t="s">
        <v>42</v>
      </c>
      <c r="E1684" t="s">
        <v>47</v>
      </c>
      <c r="F1684" t="s">
        <v>153</v>
      </c>
      <c r="G1684">
        <v>-49900</v>
      </c>
      <c r="H1684" t="s">
        <v>147</v>
      </c>
      <c r="I1684" t="s">
        <v>154</v>
      </c>
    </row>
    <row r="1685" spans="1:9">
      <c r="A1685" s="50">
        <v>45611</v>
      </c>
      <c r="B1685" s="51">
        <v>0.5745370370370371</v>
      </c>
      <c r="C1685" t="s">
        <v>151</v>
      </c>
      <c r="D1685" t="s">
        <v>160</v>
      </c>
      <c r="E1685" t="s">
        <v>47</v>
      </c>
      <c r="F1685" t="s">
        <v>163</v>
      </c>
      <c r="G1685">
        <v>-41890</v>
      </c>
      <c r="H1685" t="s">
        <v>147</v>
      </c>
      <c r="I1685" t="s">
        <v>57</v>
      </c>
    </row>
    <row r="1686" spans="1:9">
      <c r="A1686" s="50">
        <v>45611</v>
      </c>
      <c r="B1686" s="51">
        <v>0.5745370370370371</v>
      </c>
      <c r="C1686" t="s">
        <v>151</v>
      </c>
      <c r="D1686" t="s">
        <v>160</v>
      </c>
      <c r="E1686" t="s">
        <v>47</v>
      </c>
      <c r="F1686" t="s">
        <v>161</v>
      </c>
      <c r="G1686">
        <v>41890</v>
      </c>
      <c r="H1686" t="s">
        <v>147</v>
      </c>
      <c r="I1686" t="s">
        <v>162</v>
      </c>
    </row>
    <row r="1687" spans="1:9">
      <c r="A1687" s="50">
        <v>45611</v>
      </c>
      <c r="B1687" s="51">
        <v>0.4588541666666667</v>
      </c>
      <c r="C1687" t="s">
        <v>145</v>
      </c>
      <c r="D1687" t="s">
        <v>32</v>
      </c>
      <c r="E1687" t="s">
        <v>47</v>
      </c>
      <c r="F1687" t="s">
        <v>583</v>
      </c>
      <c r="G1687">
        <v>-30000</v>
      </c>
      <c r="H1687" t="s">
        <v>147</v>
      </c>
      <c r="I1687" t="s">
        <v>148</v>
      </c>
    </row>
    <row r="1688" spans="1:9">
      <c r="A1688" s="50">
        <v>45611</v>
      </c>
      <c r="B1688" s="51">
        <v>0.4541666666666667</v>
      </c>
      <c r="C1688" t="s">
        <v>151</v>
      </c>
      <c r="D1688" t="s">
        <v>160</v>
      </c>
      <c r="E1688" t="s">
        <v>47</v>
      </c>
      <c r="F1688" t="s">
        <v>7</v>
      </c>
      <c r="G1688">
        <v>-400000</v>
      </c>
      <c r="H1688" t="s">
        <v>147</v>
      </c>
      <c r="I1688" t="s">
        <v>57</v>
      </c>
    </row>
    <row r="1689" spans="1:9">
      <c r="A1689" s="50">
        <v>45611</v>
      </c>
      <c r="B1689" s="51">
        <v>0.4541666666666667</v>
      </c>
      <c r="C1689" t="s">
        <v>151</v>
      </c>
      <c r="D1689" t="s">
        <v>160</v>
      </c>
      <c r="E1689" t="s">
        <v>47</v>
      </c>
      <c r="F1689" t="s">
        <v>7</v>
      </c>
      <c r="G1689">
        <v>400000</v>
      </c>
      <c r="H1689" t="s">
        <v>147</v>
      </c>
      <c r="I1689" t="s">
        <v>61</v>
      </c>
    </row>
    <row r="1690" spans="1:9">
      <c r="A1690" s="50">
        <v>45611</v>
      </c>
      <c r="B1690" s="51">
        <v>0.04712962962962963</v>
      </c>
      <c r="C1690" t="s">
        <v>145</v>
      </c>
      <c r="D1690" t="s">
        <v>42</v>
      </c>
      <c r="E1690" t="s">
        <v>47</v>
      </c>
      <c r="F1690" t="s">
        <v>225</v>
      </c>
      <c r="G1690">
        <v>-1990</v>
      </c>
      <c r="H1690" t="s">
        <v>147</v>
      </c>
      <c r="I1690" t="s">
        <v>154</v>
      </c>
    </row>
    <row r="1691" spans="1:9">
      <c r="A1691" s="50">
        <v>45611</v>
      </c>
      <c r="B1691" s="51">
        <v>0.04712962962962963</v>
      </c>
      <c r="C1691" t="s">
        <v>151</v>
      </c>
      <c r="D1691" t="s">
        <v>160</v>
      </c>
      <c r="E1691" t="s">
        <v>47</v>
      </c>
      <c r="F1691" t="s">
        <v>163</v>
      </c>
      <c r="G1691">
        <v>-10000</v>
      </c>
      <c r="H1691" t="s">
        <v>147</v>
      </c>
      <c r="I1691" t="s">
        <v>57</v>
      </c>
    </row>
    <row r="1692" spans="1:9">
      <c r="A1692" s="50">
        <v>45611</v>
      </c>
      <c r="B1692" s="51">
        <v>0.04712962962962963</v>
      </c>
      <c r="C1692" t="s">
        <v>151</v>
      </c>
      <c r="D1692" t="s">
        <v>160</v>
      </c>
      <c r="E1692" t="s">
        <v>47</v>
      </c>
      <c r="F1692" t="s">
        <v>161</v>
      </c>
      <c r="G1692">
        <v>10000</v>
      </c>
      <c r="H1692" t="s">
        <v>147</v>
      </c>
      <c r="I1692" t="s">
        <v>162</v>
      </c>
    </row>
    <row r="1693" spans="1:9">
      <c r="A1693" s="50">
        <v>45609</v>
      </c>
      <c r="B1693" s="51">
        <v>0.817037037037037</v>
      </c>
      <c r="C1693" t="s">
        <v>145</v>
      </c>
      <c r="D1693" t="s">
        <v>40</v>
      </c>
      <c r="E1693" t="s">
        <v>47</v>
      </c>
      <c r="F1693" t="s">
        <v>228</v>
      </c>
      <c r="G1693">
        <v>-28800</v>
      </c>
      <c r="H1693" t="s">
        <v>147</v>
      </c>
      <c r="I1693" t="s">
        <v>148</v>
      </c>
    </row>
    <row r="1694" spans="1:9">
      <c r="A1694" s="50">
        <v>45609</v>
      </c>
      <c r="B1694" s="51">
        <v>0.6317476851851852</v>
      </c>
      <c r="C1694" t="s">
        <v>145</v>
      </c>
      <c r="D1694" t="s">
        <v>42</v>
      </c>
      <c r="E1694" t="s">
        <v>47</v>
      </c>
      <c r="F1694" t="s">
        <v>153</v>
      </c>
      <c r="G1694">
        <v>-38900</v>
      </c>
      <c r="H1694" t="s">
        <v>147</v>
      </c>
      <c r="I1694" t="s">
        <v>154</v>
      </c>
    </row>
    <row r="1695" spans="1:9">
      <c r="A1695" s="50">
        <v>45609</v>
      </c>
      <c r="B1695" s="51">
        <v>0.6317476851851852</v>
      </c>
      <c r="C1695" t="s">
        <v>151</v>
      </c>
      <c r="D1695" t="s">
        <v>160</v>
      </c>
      <c r="E1695" t="s">
        <v>47</v>
      </c>
      <c r="F1695" t="s">
        <v>163</v>
      </c>
      <c r="G1695">
        <v>-33900</v>
      </c>
      <c r="H1695" t="s">
        <v>147</v>
      </c>
      <c r="I1695" t="s">
        <v>57</v>
      </c>
    </row>
    <row r="1696" spans="1:9">
      <c r="A1696" s="50">
        <v>45609</v>
      </c>
      <c r="B1696" s="51">
        <v>0.6317476851851852</v>
      </c>
      <c r="C1696" t="s">
        <v>151</v>
      </c>
      <c r="D1696" t="s">
        <v>160</v>
      </c>
      <c r="E1696" t="s">
        <v>47</v>
      </c>
      <c r="F1696" t="s">
        <v>161</v>
      </c>
      <c r="G1696">
        <v>33900</v>
      </c>
      <c r="H1696" t="s">
        <v>147</v>
      </c>
      <c r="I1696" t="s">
        <v>162</v>
      </c>
    </row>
    <row r="1697" spans="1:9">
      <c r="A1697" s="50">
        <v>45609</v>
      </c>
      <c r="B1697" s="51">
        <v>0.3760763888888889</v>
      </c>
      <c r="C1697" t="s">
        <v>151</v>
      </c>
      <c r="D1697" t="s">
        <v>160</v>
      </c>
      <c r="E1697" t="s">
        <v>47</v>
      </c>
      <c r="F1697" t="s">
        <v>7</v>
      </c>
      <c r="G1697">
        <v>-100000</v>
      </c>
      <c r="H1697" t="s">
        <v>147</v>
      </c>
      <c r="I1697" t="s">
        <v>57</v>
      </c>
    </row>
    <row r="1698" spans="1:9">
      <c r="A1698" s="50">
        <v>45608</v>
      </c>
      <c r="B1698" s="51">
        <v>0.9725925925925926</v>
      </c>
      <c r="C1698" t="s">
        <v>145</v>
      </c>
      <c r="D1698" t="s">
        <v>42</v>
      </c>
      <c r="E1698" t="s">
        <v>47</v>
      </c>
      <c r="F1698" t="s">
        <v>158</v>
      </c>
      <c r="G1698">
        <v>-40000</v>
      </c>
      <c r="H1698" t="s">
        <v>147</v>
      </c>
      <c r="I1698" t="s">
        <v>57</v>
      </c>
    </row>
    <row r="1699" spans="1:9">
      <c r="A1699" s="50">
        <v>45608</v>
      </c>
      <c r="B1699" s="51">
        <v>0.4827546296296296</v>
      </c>
      <c r="C1699" t="s">
        <v>151</v>
      </c>
      <c r="D1699" t="s">
        <v>160</v>
      </c>
      <c r="E1699" t="s">
        <v>47</v>
      </c>
      <c r="F1699" t="s">
        <v>163</v>
      </c>
      <c r="G1699">
        <v>-10000</v>
      </c>
      <c r="H1699" t="s">
        <v>147</v>
      </c>
      <c r="I1699" t="s">
        <v>57</v>
      </c>
    </row>
    <row r="1700" spans="1:9">
      <c r="A1700" s="50">
        <v>45608</v>
      </c>
      <c r="B1700" s="51">
        <v>0.4827430555555556</v>
      </c>
      <c r="C1700" t="s">
        <v>151</v>
      </c>
      <c r="D1700" t="s">
        <v>160</v>
      </c>
      <c r="E1700" t="s">
        <v>47</v>
      </c>
      <c r="F1700" t="s">
        <v>161</v>
      </c>
      <c r="G1700">
        <v>10000</v>
      </c>
      <c r="H1700" t="s">
        <v>147</v>
      </c>
      <c r="I1700" t="s">
        <v>162</v>
      </c>
    </row>
    <row r="1701" spans="1:9">
      <c r="A1701" s="50">
        <v>45608</v>
      </c>
      <c r="B1701" s="51">
        <v>0.4497337962962963</v>
      </c>
      <c r="C1701" t="s">
        <v>151</v>
      </c>
      <c r="D1701" t="s">
        <v>151</v>
      </c>
      <c r="E1701" t="s">
        <v>47</v>
      </c>
      <c r="F1701" t="s">
        <v>584</v>
      </c>
      <c r="G1701">
        <v>-1575000</v>
      </c>
      <c r="H1701" t="s">
        <v>147</v>
      </c>
      <c r="I1701" t="s">
        <v>57</v>
      </c>
    </row>
    <row r="1702" spans="1:9">
      <c r="A1702" s="50">
        <v>45608</v>
      </c>
      <c r="B1702" s="51">
        <v>0.4453472222222222</v>
      </c>
      <c r="C1702" t="s">
        <v>151</v>
      </c>
      <c r="D1702" t="s">
        <v>160</v>
      </c>
      <c r="E1702" t="s">
        <v>47</v>
      </c>
      <c r="F1702" t="s">
        <v>7</v>
      </c>
      <c r="G1702">
        <v>1600000</v>
      </c>
      <c r="H1702" t="s">
        <v>147</v>
      </c>
      <c r="I1702" t="s">
        <v>57</v>
      </c>
    </row>
    <row r="1703" spans="1:9">
      <c r="A1703" s="50">
        <v>45608</v>
      </c>
      <c r="B1703" s="51">
        <v>0.3928935185185185</v>
      </c>
      <c r="C1703" t="s">
        <v>151</v>
      </c>
      <c r="D1703" t="s">
        <v>160</v>
      </c>
      <c r="E1703" t="s">
        <v>47</v>
      </c>
      <c r="F1703" t="s">
        <v>7</v>
      </c>
      <c r="G1703">
        <v>-700000</v>
      </c>
      <c r="H1703" t="s">
        <v>147</v>
      </c>
      <c r="I1703" t="s">
        <v>57</v>
      </c>
    </row>
    <row r="1704" spans="1:9">
      <c r="A1704" s="50">
        <v>45608</v>
      </c>
      <c r="B1704" s="51">
        <v>0.3751157407407407</v>
      </c>
      <c r="C1704" t="s">
        <v>145</v>
      </c>
      <c r="D1704" t="s">
        <v>42</v>
      </c>
      <c r="E1704" t="s">
        <v>47</v>
      </c>
      <c r="F1704" t="s">
        <v>229</v>
      </c>
      <c r="G1704">
        <v>-100000</v>
      </c>
      <c r="H1704" t="s">
        <v>147</v>
      </c>
      <c r="I1704" t="s">
        <v>57</v>
      </c>
    </row>
    <row r="1705" spans="1:9">
      <c r="A1705" s="50">
        <v>45608</v>
      </c>
      <c r="B1705" s="51">
        <v>0.3655439814814815</v>
      </c>
      <c r="C1705" t="s">
        <v>149</v>
      </c>
      <c r="D1705" t="s">
        <v>28</v>
      </c>
      <c r="E1705" t="s">
        <v>47</v>
      </c>
      <c r="F1705" t="s">
        <v>416</v>
      </c>
      <c r="G1705">
        <v>1893930</v>
      </c>
      <c r="H1705" t="s">
        <v>147</v>
      </c>
      <c r="I1705" t="s">
        <v>57</v>
      </c>
    </row>
    <row r="1706" spans="1:9">
      <c r="A1706" s="50">
        <v>45607</v>
      </c>
      <c r="B1706" s="51">
        <v>0.73875</v>
      </c>
      <c r="C1706" t="s">
        <v>145</v>
      </c>
      <c r="D1706" t="s">
        <v>43</v>
      </c>
      <c r="E1706" t="s">
        <v>47</v>
      </c>
      <c r="F1706" t="s">
        <v>585</v>
      </c>
      <c r="G1706">
        <v>-12700</v>
      </c>
      <c r="H1706" t="s">
        <v>147</v>
      </c>
      <c r="I1706" t="s">
        <v>148</v>
      </c>
    </row>
    <row r="1707" spans="1:9">
      <c r="A1707" s="50">
        <v>45607</v>
      </c>
      <c r="B1707" s="51">
        <v>0.73875</v>
      </c>
      <c r="C1707" t="s">
        <v>145</v>
      </c>
      <c r="D1707" t="s">
        <v>43</v>
      </c>
      <c r="E1707" t="s">
        <v>47</v>
      </c>
      <c r="F1707" t="s">
        <v>585</v>
      </c>
      <c r="G1707">
        <v>-12700</v>
      </c>
      <c r="H1707" t="s">
        <v>147</v>
      </c>
      <c r="I1707" t="s">
        <v>148</v>
      </c>
    </row>
    <row r="1708" spans="1:9">
      <c r="A1708" s="50">
        <v>45607</v>
      </c>
      <c r="B1708" s="51">
        <v>0.4292245370370371</v>
      </c>
      <c r="C1708" t="s">
        <v>151</v>
      </c>
      <c r="D1708" t="s">
        <v>160</v>
      </c>
      <c r="E1708" t="s">
        <v>47</v>
      </c>
      <c r="F1708" t="s">
        <v>233</v>
      </c>
      <c r="G1708">
        <v>-25248</v>
      </c>
      <c r="H1708" t="s">
        <v>147</v>
      </c>
      <c r="I1708" t="s">
        <v>57</v>
      </c>
    </row>
    <row r="1709" spans="1:9">
      <c r="A1709" s="50">
        <v>45607</v>
      </c>
      <c r="B1709" s="51">
        <v>0.4292245370370371</v>
      </c>
      <c r="C1709" t="s">
        <v>151</v>
      </c>
      <c r="D1709" t="s">
        <v>160</v>
      </c>
      <c r="E1709" t="s">
        <v>47</v>
      </c>
      <c r="F1709" t="s">
        <v>7</v>
      </c>
      <c r="G1709">
        <v>-100000</v>
      </c>
      <c r="H1709" t="s">
        <v>147</v>
      </c>
      <c r="I1709" t="s">
        <v>61</v>
      </c>
    </row>
    <row r="1710" spans="1:9">
      <c r="A1710" s="50">
        <v>45607</v>
      </c>
      <c r="B1710" s="51">
        <v>0.4292245370370371</v>
      </c>
      <c r="C1710" t="s">
        <v>151</v>
      </c>
      <c r="D1710" t="s">
        <v>160</v>
      </c>
      <c r="E1710" t="s">
        <v>47</v>
      </c>
      <c r="F1710" t="s">
        <v>7</v>
      </c>
      <c r="G1710">
        <v>100000</v>
      </c>
      <c r="H1710" t="s">
        <v>147</v>
      </c>
      <c r="I1710" t="s">
        <v>57</v>
      </c>
    </row>
    <row r="1711" spans="1:9">
      <c r="A1711" s="50">
        <v>45607</v>
      </c>
      <c r="B1711" s="51">
        <v>0.1297453703703704</v>
      </c>
      <c r="C1711" t="s">
        <v>145</v>
      </c>
      <c r="D1711" t="s">
        <v>35</v>
      </c>
      <c r="E1711" t="s">
        <v>207</v>
      </c>
      <c r="F1711" t="s">
        <v>234</v>
      </c>
      <c r="G1711">
        <v>-139431</v>
      </c>
      <c r="H1711" t="s">
        <v>147</v>
      </c>
      <c r="I1711" t="s">
        <v>57</v>
      </c>
    </row>
    <row r="1712" spans="1:9">
      <c r="A1712" s="50">
        <v>45607</v>
      </c>
      <c r="B1712" s="51">
        <v>0.1278587962962963</v>
      </c>
      <c r="C1712" t="s">
        <v>151</v>
      </c>
      <c r="D1712" t="s">
        <v>151</v>
      </c>
      <c r="E1712" t="s">
        <v>47</v>
      </c>
      <c r="F1712" t="s">
        <v>234</v>
      </c>
      <c r="G1712">
        <v>-281734</v>
      </c>
      <c r="H1712" t="s">
        <v>147</v>
      </c>
      <c r="I1712" t="s">
        <v>61</v>
      </c>
    </row>
    <row r="1713" spans="1:9">
      <c r="A1713" s="50">
        <v>45605</v>
      </c>
      <c r="B1713" s="51">
        <v>0.7098032407407407</v>
      </c>
      <c r="C1713" t="s">
        <v>145</v>
      </c>
      <c r="D1713" t="s">
        <v>38</v>
      </c>
      <c r="E1713" t="s">
        <v>47</v>
      </c>
      <c r="F1713" t="s">
        <v>579</v>
      </c>
      <c r="G1713">
        <v>-26900</v>
      </c>
      <c r="H1713" t="s">
        <v>147</v>
      </c>
      <c r="I1713" t="s">
        <v>154</v>
      </c>
    </row>
    <row r="1714" spans="1:9">
      <c r="A1714" s="50">
        <v>45605</v>
      </c>
      <c r="B1714" s="51">
        <v>0.7098032407407407</v>
      </c>
      <c r="C1714" t="s">
        <v>151</v>
      </c>
      <c r="D1714" t="s">
        <v>160</v>
      </c>
      <c r="E1714" t="s">
        <v>47</v>
      </c>
      <c r="F1714" t="s">
        <v>163</v>
      </c>
      <c r="G1714">
        <v>-18400</v>
      </c>
      <c r="H1714" t="s">
        <v>147</v>
      </c>
      <c r="I1714" t="s">
        <v>57</v>
      </c>
    </row>
    <row r="1715" spans="1:9">
      <c r="A1715" s="50">
        <v>45605</v>
      </c>
      <c r="B1715" s="51">
        <v>0.7098032407407407</v>
      </c>
      <c r="C1715" t="s">
        <v>151</v>
      </c>
      <c r="D1715" t="s">
        <v>160</v>
      </c>
      <c r="E1715" t="s">
        <v>47</v>
      </c>
      <c r="F1715" t="s">
        <v>161</v>
      </c>
      <c r="G1715">
        <v>18400</v>
      </c>
      <c r="H1715" t="s">
        <v>147</v>
      </c>
      <c r="I1715" t="s">
        <v>162</v>
      </c>
    </row>
    <row r="1716" spans="1:9">
      <c r="A1716" s="50">
        <v>45605</v>
      </c>
      <c r="B1716" s="51">
        <v>0.6041319444444444</v>
      </c>
      <c r="C1716" t="s">
        <v>145</v>
      </c>
      <c r="D1716" t="s">
        <v>34</v>
      </c>
      <c r="E1716" t="s">
        <v>47</v>
      </c>
      <c r="F1716" t="s">
        <v>586</v>
      </c>
      <c r="G1716">
        <v>-5400</v>
      </c>
      <c r="H1716" t="s">
        <v>147</v>
      </c>
      <c r="I1716" t="s">
        <v>154</v>
      </c>
    </row>
    <row r="1717" spans="1:9">
      <c r="A1717" s="50">
        <v>45605</v>
      </c>
      <c r="B1717" s="51">
        <v>0.6041087962962963</v>
      </c>
      <c r="C1717" t="s">
        <v>145</v>
      </c>
      <c r="D1717" t="s">
        <v>34</v>
      </c>
      <c r="E1717" t="s">
        <v>47</v>
      </c>
      <c r="F1717" t="s">
        <v>586</v>
      </c>
      <c r="G1717">
        <v>-1100</v>
      </c>
      <c r="H1717" t="s">
        <v>147</v>
      </c>
      <c r="I1717" t="s">
        <v>154</v>
      </c>
    </row>
    <row r="1718" spans="1:9">
      <c r="A1718" s="50">
        <v>45605</v>
      </c>
      <c r="B1718" s="51">
        <v>0.596087962962963</v>
      </c>
      <c r="C1718" t="s">
        <v>145</v>
      </c>
      <c r="D1718" t="s">
        <v>34</v>
      </c>
      <c r="E1718" t="s">
        <v>47</v>
      </c>
      <c r="F1718" t="s">
        <v>586</v>
      </c>
      <c r="G1718">
        <v>7200</v>
      </c>
      <c r="H1718" t="s">
        <v>147</v>
      </c>
      <c r="I1718" t="s">
        <v>154</v>
      </c>
    </row>
    <row r="1719" spans="1:9">
      <c r="A1719" s="50">
        <v>45605</v>
      </c>
      <c r="B1719" s="51">
        <v>0.5960763888888889</v>
      </c>
      <c r="C1719" t="s">
        <v>145</v>
      </c>
      <c r="D1719" t="s">
        <v>34</v>
      </c>
      <c r="E1719" t="s">
        <v>47</v>
      </c>
      <c r="F1719" t="s">
        <v>586</v>
      </c>
      <c r="G1719">
        <v>-7200</v>
      </c>
      <c r="H1719" t="s">
        <v>147</v>
      </c>
      <c r="I1719" t="s">
        <v>154</v>
      </c>
    </row>
    <row r="1720" spans="1:9">
      <c r="A1720" s="50">
        <v>45605</v>
      </c>
      <c r="B1720" s="51">
        <v>0.5960763888888889</v>
      </c>
      <c r="C1720" t="s">
        <v>151</v>
      </c>
      <c r="D1720" t="s">
        <v>160</v>
      </c>
      <c r="E1720" t="s">
        <v>47</v>
      </c>
      <c r="F1720" t="s">
        <v>163</v>
      </c>
      <c r="G1720">
        <v>-10000</v>
      </c>
      <c r="H1720" t="s">
        <v>147</v>
      </c>
      <c r="I1720" t="s">
        <v>57</v>
      </c>
    </row>
    <row r="1721" spans="1:9">
      <c r="A1721" s="50">
        <v>45605</v>
      </c>
      <c r="B1721" s="51">
        <v>0.5960763888888889</v>
      </c>
      <c r="C1721" t="s">
        <v>151</v>
      </c>
      <c r="D1721" t="s">
        <v>160</v>
      </c>
      <c r="E1721" t="s">
        <v>47</v>
      </c>
      <c r="F1721" t="s">
        <v>161</v>
      </c>
      <c r="G1721">
        <v>10000</v>
      </c>
      <c r="H1721" t="s">
        <v>147</v>
      </c>
      <c r="I1721" t="s">
        <v>162</v>
      </c>
    </row>
    <row r="1722" spans="1:9">
      <c r="A1722" s="50">
        <v>45604</v>
      </c>
      <c r="B1722" s="51">
        <v>0.3921527777777778</v>
      </c>
      <c r="C1722" t="s">
        <v>151</v>
      </c>
      <c r="D1722" t="s">
        <v>160</v>
      </c>
      <c r="E1722" t="s">
        <v>47</v>
      </c>
      <c r="F1722" t="s">
        <v>7</v>
      </c>
      <c r="G1722">
        <v>100000</v>
      </c>
      <c r="H1722" t="s">
        <v>147</v>
      </c>
      <c r="I1722" t="s">
        <v>57</v>
      </c>
    </row>
    <row r="1723" spans="1:9">
      <c r="A1723" s="50">
        <v>45604</v>
      </c>
      <c r="B1723" s="51">
        <v>0.3921527777777778</v>
      </c>
      <c r="C1723" t="s">
        <v>151</v>
      </c>
      <c r="D1723" t="s">
        <v>160</v>
      </c>
      <c r="E1723" t="s">
        <v>47</v>
      </c>
      <c r="F1723" t="s">
        <v>7</v>
      </c>
      <c r="G1723">
        <v>-100000</v>
      </c>
      <c r="H1723" t="s">
        <v>147</v>
      </c>
      <c r="I1723" t="s">
        <v>61</v>
      </c>
    </row>
    <row r="1724" spans="1:9">
      <c r="A1724" s="50">
        <v>45603</v>
      </c>
      <c r="B1724" s="51">
        <v>0.8686342592592593</v>
      </c>
      <c r="C1724" t="s">
        <v>149</v>
      </c>
      <c r="D1724" t="s">
        <v>30</v>
      </c>
      <c r="E1724" t="s">
        <v>47</v>
      </c>
      <c r="F1724" t="s">
        <v>495</v>
      </c>
      <c r="G1724">
        <v>51700</v>
      </c>
      <c r="H1724" t="s">
        <v>147</v>
      </c>
      <c r="I1724" t="s">
        <v>57</v>
      </c>
    </row>
    <row r="1725" spans="1:9">
      <c r="A1725" s="50">
        <v>45603</v>
      </c>
      <c r="B1725" s="51">
        <v>0.7838541666666666</v>
      </c>
      <c r="C1725" t="s">
        <v>151</v>
      </c>
      <c r="D1725" t="s">
        <v>160</v>
      </c>
      <c r="E1725" t="s">
        <v>47</v>
      </c>
      <c r="F1725" t="s">
        <v>163</v>
      </c>
      <c r="G1725">
        <v>-10000</v>
      </c>
      <c r="H1725" t="s">
        <v>147</v>
      </c>
      <c r="I1725" t="s">
        <v>57</v>
      </c>
    </row>
    <row r="1726" spans="1:9">
      <c r="A1726" s="50">
        <v>45603</v>
      </c>
      <c r="B1726" s="51">
        <v>0.7838425925925926</v>
      </c>
      <c r="C1726" t="s">
        <v>145</v>
      </c>
      <c r="D1726" t="s">
        <v>45</v>
      </c>
      <c r="E1726" t="s">
        <v>47</v>
      </c>
      <c r="F1726" t="s">
        <v>587</v>
      </c>
      <c r="G1726">
        <v>-5000</v>
      </c>
      <c r="H1726" t="s">
        <v>147</v>
      </c>
      <c r="I1726" t="s">
        <v>154</v>
      </c>
    </row>
    <row r="1727" spans="1:9">
      <c r="A1727" s="50">
        <v>45603</v>
      </c>
      <c r="B1727" s="51">
        <v>0.7838425925925926</v>
      </c>
      <c r="C1727" t="s">
        <v>151</v>
      </c>
      <c r="D1727" t="s">
        <v>160</v>
      </c>
      <c r="E1727" t="s">
        <v>47</v>
      </c>
      <c r="F1727" t="s">
        <v>161</v>
      </c>
      <c r="G1727">
        <v>10000</v>
      </c>
      <c r="H1727" t="s">
        <v>147</v>
      </c>
      <c r="I1727" t="s">
        <v>162</v>
      </c>
    </row>
    <row r="1728" spans="1:9">
      <c r="A1728" s="50">
        <v>45603</v>
      </c>
      <c r="B1728" s="51">
        <v>0.7820023148148149</v>
      </c>
      <c r="C1728" t="s">
        <v>151</v>
      </c>
      <c r="D1728" t="s">
        <v>160</v>
      </c>
      <c r="E1728" t="s">
        <v>47</v>
      </c>
      <c r="F1728" t="s">
        <v>7</v>
      </c>
      <c r="G1728">
        <v>20000</v>
      </c>
      <c r="H1728" t="s">
        <v>147</v>
      </c>
      <c r="I1728" t="s">
        <v>57</v>
      </c>
    </row>
    <row r="1729" spans="1:9">
      <c r="A1729" s="50">
        <v>45603</v>
      </c>
      <c r="B1729" s="51">
        <v>0.7616782407407408</v>
      </c>
      <c r="C1729" t="s">
        <v>145</v>
      </c>
      <c r="D1729" t="s">
        <v>41</v>
      </c>
      <c r="E1729" t="s">
        <v>47</v>
      </c>
      <c r="F1729" t="s">
        <v>157</v>
      </c>
      <c r="G1729">
        <v>-38850</v>
      </c>
      <c r="H1729" t="s">
        <v>147</v>
      </c>
      <c r="I1729" t="s">
        <v>57</v>
      </c>
    </row>
    <row r="1730" spans="1:9">
      <c r="A1730" s="50">
        <v>45603</v>
      </c>
      <c r="B1730" s="51">
        <v>0</v>
      </c>
      <c r="C1730" t="s">
        <v>145</v>
      </c>
      <c r="D1730" t="s">
        <v>34</v>
      </c>
      <c r="E1730" t="s">
        <v>47</v>
      </c>
      <c r="F1730" t="s">
        <v>588</v>
      </c>
      <c r="G1730">
        <v>51700</v>
      </c>
      <c r="H1730" t="s">
        <v>147</v>
      </c>
      <c r="I1730" t="s">
        <v>148</v>
      </c>
    </row>
    <row r="1731" spans="1:9">
      <c r="A1731" s="50">
        <v>45602</v>
      </c>
      <c r="B1731" s="51">
        <v>0.5425231481481482</v>
      </c>
      <c r="C1731" t="s">
        <v>151</v>
      </c>
      <c r="D1731" t="s">
        <v>151</v>
      </c>
      <c r="E1731" t="s">
        <v>47</v>
      </c>
      <c r="F1731" t="s">
        <v>589</v>
      </c>
      <c r="G1731">
        <v>-25000</v>
      </c>
      <c r="H1731" t="s">
        <v>147</v>
      </c>
      <c r="I1731" t="s">
        <v>162</v>
      </c>
    </row>
    <row r="1732" spans="1:9">
      <c r="A1732" s="50">
        <v>45602</v>
      </c>
      <c r="B1732" s="51">
        <v>0.542511574074074</v>
      </c>
      <c r="C1732" t="s">
        <v>151</v>
      </c>
      <c r="D1732" t="s">
        <v>160</v>
      </c>
      <c r="E1732" t="s">
        <v>47</v>
      </c>
      <c r="F1732" t="s">
        <v>163</v>
      </c>
      <c r="G1732">
        <v>-24992</v>
      </c>
      <c r="H1732" t="s">
        <v>147</v>
      </c>
      <c r="I1732" t="s">
        <v>57</v>
      </c>
    </row>
    <row r="1733" spans="1:9">
      <c r="A1733" s="50">
        <v>45602</v>
      </c>
      <c r="B1733" s="51">
        <v>0.542511574074074</v>
      </c>
      <c r="C1733" t="s">
        <v>151</v>
      </c>
      <c r="D1733" t="s">
        <v>160</v>
      </c>
      <c r="E1733" t="s">
        <v>47</v>
      </c>
      <c r="F1733" t="s">
        <v>161</v>
      </c>
      <c r="G1733">
        <v>24992</v>
      </c>
      <c r="H1733" t="s">
        <v>147</v>
      </c>
      <c r="I1733" t="s">
        <v>162</v>
      </c>
    </row>
    <row r="1734" spans="1:9">
      <c r="A1734" s="50">
        <v>45602</v>
      </c>
      <c r="B1734" s="51">
        <v>0.4976967592592593</v>
      </c>
      <c r="C1734" t="s">
        <v>145</v>
      </c>
      <c r="D1734" t="s">
        <v>34</v>
      </c>
      <c r="E1734" t="s">
        <v>47</v>
      </c>
      <c r="F1734" t="s">
        <v>588</v>
      </c>
      <c r="G1734">
        <v>-51800</v>
      </c>
      <c r="H1734" t="s">
        <v>147</v>
      </c>
      <c r="I1734" t="s">
        <v>148</v>
      </c>
    </row>
    <row r="1735" spans="1:9">
      <c r="A1735" s="50">
        <v>45602</v>
      </c>
      <c r="B1735" s="51">
        <v>0.4974652777777778</v>
      </c>
      <c r="C1735" t="s">
        <v>151</v>
      </c>
      <c r="D1735" t="s">
        <v>160</v>
      </c>
      <c r="E1735" t="s">
        <v>47</v>
      </c>
      <c r="F1735" t="s">
        <v>7</v>
      </c>
      <c r="G1735">
        <v>100000</v>
      </c>
      <c r="H1735" t="s">
        <v>147</v>
      </c>
      <c r="I1735" t="s">
        <v>57</v>
      </c>
    </row>
    <row r="1736" spans="1:9">
      <c r="A1736" s="50">
        <v>45602</v>
      </c>
      <c r="B1736" s="51">
        <v>0.4974652777777778</v>
      </c>
      <c r="C1736" t="s">
        <v>151</v>
      </c>
      <c r="D1736" t="s">
        <v>160</v>
      </c>
      <c r="E1736" t="s">
        <v>47</v>
      </c>
      <c r="F1736" t="s">
        <v>7</v>
      </c>
      <c r="G1736">
        <v>-100000</v>
      </c>
      <c r="H1736" t="s">
        <v>147</v>
      </c>
      <c r="I1736" t="s">
        <v>61</v>
      </c>
    </row>
    <row r="1737" spans="1:9">
      <c r="A1737" s="50">
        <v>45602</v>
      </c>
      <c r="B1737" s="51">
        <v>0.3262384259259259</v>
      </c>
      <c r="C1737" t="s">
        <v>145</v>
      </c>
      <c r="D1737" t="s">
        <v>38</v>
      </c>
      <c r="E1737" t="s">
        <v>47</v>
      </c>
      <c r="F1737" t="s">
        <v>544</v>
      </c>
      <c r="G1737">
        <v>-3600</v>
      </c>
      <c r="H1737" t="s">
        <v>147</v>
      </c>
      <c r="I1737" t="s">
        <v>148</v>
      </c>
    </row>
    <row r="1738" spans="1:9">
      <c r="A1738" s="50">
        <v>45602</v>
      </c>
      <c r="B1738" s="51">
        <v>0.3249305555555556</v>
      </c>
      <c r="C1738" t="s">
        <v>151</v>
      </c>
      <c r="D1738" t="s">
        <v>160</v>
      </c>
      <c r="E1738" t="s">
        <v>47</v>
      </c>
      <c r="F1738" t="s">
        <v>7</v>
      </c>
      <c r="G1738">
        <v>-10000</v>
      </c>
      <c r="H1738" t="s">
        <v>147</v>
      </c>
      <c r="I1738" t="s">
        <v>61</v>
      </c>
    </row>
    <row r="1739" spans="1:9">
      <c r="A1739" s="50">
        <v>45602</v>
      </c>
      <c r="B1739" s="51">
        <v>0.3249305555555556</v>
      </c>
      <c r="C1739" t="s">
        <v>151</v>
      </c>
      <c r="D1739" t="s">
        <v>160</v>
      </c>
      <c r="E1739" t="s">
        <v>47</v>
      </c>
      <c r="F1739" t="s">
        <v>7</v>
      </c>
      <c r="G1739">
        <v>10000</v>
      </c>
      <c r="H1739" t="s">
        <v>147</v>
      </c>
      <c r="I1739" t="s">
        <v>57</v>
      </c>
    </row>
    <row r="1740" spans="1:9">
      <c r="A1740" s="50">
        <v>45601</v>
      </c>
      <c r="B1740" s="51">
        <v>0.6826157407407407</v>
      </c>
      <c r="C1740" t="s">
        <v>145</v>
      </c>
      <c r="D1740" t="s">
        <v>42</v>
      </c>
      <c r="E1740" t="s">
        <v>47</v>
      </c>
      <c r="F1740" t="s">
        <v>170</v>
      </c>
      <c r="G1740">
        <v>-9800</v>
      </c>
      <c r="H1740" t="s">
        <v>147</v>
      </c>
      <c r="I1740" t="s">
        <v>148</v>
      </c>
    </row>
    <row r="1741" spans="1:9">
      <c r="A1741" s="50">
        <v>45601</v>
      </c>
      <c r="B1741" s="51">
        <v>0.6759375</v>
      </c>
      <c r="C1741" t="s">
        <v>145</v>
      </c>
      <c r="D1741" t="s">
        <v>42</v>
      </c>
      <c r="E1741" t="s">
        <v>47</v>
      </c>
      <c r="F1741" t="s">
        <v>158</v>
      </c>
      <c r="G1741">
        <v>-120000</v>
      </c>
      <c r="H1741" t="s">
        <v>147</v>
      </c>
      <c r="I1741" t="s">
        <v>57</v>
      </c>
    </row>
    <row r="1742" spans="1:9">
      <c r="A1742" s="50">
        <v>45601</v>
      </c>
      <c r="B1742" s="51">
        <v>0.6747685185185185</v>
      </c>
      <c r="C1742" t="s">
        <v>151</v>
      </c>
      <c r="D1742" t="s">
        <v>160</v>
      </c>
      <c r="E1742" t="s">
        <v>47</v>
      </c>
      <c r="F1742" t="s">
        <v>7</v>
      </c>
      <c r="G1742">
        <v>-100000</v>
      </c>
      <c r="H1742" t="s">
        <v>147</v>
      </c>
      <c r="I1742" t="s">
        <v>61</v>
      </c>
    </row>
    <row r="1743" spans="1:9">
      <c r="A1743" s="50">
        <v>45601</v>
      </c>
      <c r="B1743" s="51">
        <v>0.6747685185185185</v>
      </c>
      <c r="C1743" t="s">
        <v>151</v>
      </c>
      <c r="D1743" t="s">
        <v>160</v>
      </c>
      <c r="E1743" t="s">
        <v>47</v>
      </c>
      <c r="F1743" t="s">
        <v>7</v>
      </c>
      <c r="G1743">
        <v>100000</v>
      </c>
      <c r="H1743" t="s">
        <v>147</v>
      </c>
      <c r="I1743" t="s">
        <v>57</v>
      </c>
    </row>
    <row r="1744" spans="1:9">
      <c r="A1744" s="50">
        <v>45601</v>
      </c>
      <c r="B1744" s="51">
        <v>0.5740046296296296</v>
      </c>
      <c r="C1744" t="s">
        <v>151</v>
      </c>
      <c r="D1744" t="s">
        <v>160</v>
      </c>
      <c r="E1744" t="s">
        <v>47</v>
      </c>
      <c r="F1744" t="s">
        <v>7</v>
      </c>
      <c r="G1744">
        <v>-400000</v>
      </c>
      <c r="H1744" t="s">
        <v>147</v>
      </c>
      <c r="I1744" t="s">
        <v>61</v>
      </c>
    </row>
    <row r="1745" spans="1:9">
      <c r="A1745" s="50">
        <v>45600</v>
      </c>
      <c r="B1745" s="51">
        <v>0.5497916666666667</v>
      </c>
      <c r="C1745" t="s">
        <v>145</v>
      </c>
      <c r="D1745" t="s">
        <v>42</v>
      </c>
      <c r="E1745" t="s">
        <v>47</v>
      </c>
      <c r="F1745" t="s">
        <v>158</v>
      </c>
      <c r="G1745">
        <v>-40000</v>
      </c>
      <c r="H1745" t="s">
        <v>147</v>
      </c>
      <c r="I1745" t="s">
        <v>57</v>
      </c>
    </row>
    <row r="1746" spans="1:9">
      <c r="A1746" s="50">
        <v>45599</v>
      </c>
      <c r="B1746" s="51">
        <v>0.9815277777777778</v>
      </c>
      <c r="C1746" t="s">
        <v>145</v>
      </c>
      <c r="D1746" t="s">
        <v>42</v>
      </c>
      <c r="E1746" t="s">
        <v>47</v>
      </c>
      <c r="F1746" t="s">
        <v>219</v>
      </c>
      <c r="G1746">
        <v>-13520</v>
      </c>
      <c r="H1746" t="s">
        <v>147</v>
      </c>
      <c r="I1746" t="s">
        <v>148</v>
      </c>
    </row>
    <row r="1747" spans="1:9">
      <c r="A1747" s="50">
        <v>45599</v>
      </c>
      <c r="B1747" s="51">
        <v>0.8729513888888889</v>
      </c>
      <c r="C1747" t="s">
        <v>145</v>
      </c>
      <c r="D1747" t="s">
        <v>42</v>
      </c>
      <c r="E1747" t="s">
        <v>47</v>
      </c>
      <c r="F1747" t="s">
        <v>170</v>
      </c>
      <c r="G1747">
        <v>-14900</v>
      </c>
      <c r="H1747" t="s">
        <v>147</v>
      </c>
      <c r="I1747" t="s">
        <v>148</v>
      </c>
    </row>
    <row r="1748" spans="1:9">
      <c r="A1748" s="50">
        <v>45599</v>
      </c>
      <c r="B1748" s="51">
        <v>0.2588078703703704</v>
      </c>
      <c r="C1748" t="s">
        <v>145</v>
      </c>
      <c r="D1748" t="s">
        <v>42</v>
      </c>
      <c r="E1748" t="s">
        <v>47</v>
      </c>
      <c r="F1748" t="s">
        <v>170</v>
      </c>
      <c r="G1748">
        <v>-16650</v>
      </c>
      <c r="H1748" t="s">
        <v>147</v>
      </c>
      <c r="I1748" t="s">
        <v>148</v>
      </c>
    </row>
    <row r="1749" spans="1:9">
      <c r="A1749" s="50">
        <v>45598</v>
      </c>
      <c r="B1749" s="51">
        <v>0.7736342592592592</v>
      </c>
      <c r="C1749" t="s">
        <v>145</v>
      </c>
      <c r="D1749" t="s">
        <v>42</v>
      </c>
      <c r="E1749" t="s">
        <v>47</v>
      </c>
      <c r="F1749" t="s">
        <v>159</v>
      </c>
      <c r="G1749">
        <v>-46220</v>
      </c>
      <c r="H1749" t="s">
        <v>147</v>
      </c>
      <c r="I1749" t="s">
        <v>148</v>
      </c>
    </row>
    <row r="1750" spans="1:9">
      <c r="A1750" s="50">
        <v>45598</v>
      </c>
      <c r="B1750" s="51">
        <v>0.7736342592592592</v>
      </c>
      <c r="C1750" t="s">
        <v>145</v>
      </c>
      <c r="D1750" t="s">
        <v>42</v>
      </c>
      <c r="E1750" t="s">
        <v>47</v>
      </c>
      <c r="F1750" t="s">
        <v>159</v>
      </c>
      <c r="G1750">
        <v>-46220</v>
      </c>
      <c r="H1750" t="s">
        <v>147</v>
      </c>
      <c r="I1750" t="s">
        <v>148</v>
      </c>
    </row>
    <row r="1751" spans="1:9">
      <c r="A1751" s="50">
        <v>45598</v>
      </c>
      <c r="B1751" s="51">
        <v>0.5661574074074074</v>
      </c>
      <c r="C1751" t="s">
        <v>145</v>
      </c>
      <c r="D1751" t="s">
        <v>42</v>
      </c>
      <c r="E1751" t="s">
        <v>47</v>
      </c>
      <c r="F1751" t="s">
        <v>158</v>
      </c>
      <c r="G1751">
        <v>-30000</v>
      </c>
      <c r="H1751" t="s">
        <v>147</v>
      </c>
      <c r="I1751" t="s">
        <v>57</v>
      </c>
    </row>
    <row r="1752" spans="1:9">
      <c r="A1752" s="50">
        <v>45598</v>
      </c>
      <c r="B1752" s="51">
        <v>0.5504398148148149</v>
      </c>
      <c r="C1752" t="s">
        <v>145</v>
      </c>
      <c r="D1752" t="s">
        <v>42</v>
      </c>
      <c r="E1752" t="s">
        <v>47</v>
      </c>
      <c r="F1752" t="s">
        <v>158</v>
      </c>
      <c r="G1752">
        <v>-30000</v>
      </c>
      <c r="H1752" t="s">
        <v>147</v>
      </c>
      <c r="I1752" t="s">
        <v>57</v>
      </c>
    </row>
    <row r="1753" spans="1:9">
      <c r="A1753" s="50">
        <v>45596</v>
      </c>
      <c r="B1753" s="51">
        <v>0.6137037037037038</v>
      </c>
      <c r="C1753" t="s">
        <v>151</v>
      </c>
      <c r="D1753" t="s">
        <v>160</v>
      </c>
      <c r="E1753" t="s">
        <v>47</v>
      </c>
      <c r="F1753" t="s">
        <v>7</v>
      </c>
      <c r="G1753">
        <v>160000</v>
      </c>
      <c r="H1753" t="s">
        <v>147</v>
      </c>
      <c r="I1753" t="s">
        <v>57</v>
      </c>
    </row>
    <row r="1754" spans="1:9">
      <c r="A1754" s="50">
        <v>45595</v>
      </c>
      <c r="B1754" s="51">
        <v>0.8970833333333333</v>
      </c>
      <c r="C1754" t="s">
        <v>149</v>
      </c>
      <c r="D1754" t="s">
        <v>29</v>
      </c>
      <c r="E1754" t="s">
        <v>47</v>
      </c>
      <c r="F1754" t="s">
        <v>495</v>
      </c>
      <c r="G1754">
        <v>26700</v>
      </c>
      <c r="H1754" t="s">
        <v>147</v>
      </c>
      <c r="I1754" t="s">
        <v>57</v>
      </c>
    </row>
    <row r="1755" spans="1:9">
      <c r="A1755" s="50">
        <v>45595</v>
      </c>
      <c r="B1755" s="51">
        <v>0</v>
      </c>
      <c r="C1755" t="s">
        <v>145</v>
      </c>
      <c r="D1755" t="s">
        <v>42</v>
      </c>
      <c r="E1755" t="s">
        <v>47</v>
      </c>
      <c r="F1755" t="s">
        <v>219</v>
      </c>
      <c r="G1755">
        <v>26700</v>
      </c>
      <c r="H1755" t="s">
        <v>147</v>
      </c>
      <c r="I1755" t="s">
        <v>148</v>
      </c>
    </row>
    <row r="1756" spans="1:9">
      <c r="A1756" s="50">
        <v>45594</v>
      </c>
      <c r="B1756" s="51">
        <v>0.9343634259259259</v>
      </c>
      <c r="C1756" t="s">
        <v>145</v>
      </c>
      <c r="D1756" t="s">
        <v>42</v>
      </c>
      <c r="E1756" t="s">
        <v>47</v>
      </c>
      <c r="F1756" t="s">
        <v>219</v>
      </c>
      <c r="G1756">
        <v>-37680</v>
      </c>
      <c r="H1756" t="s">
        <v>147</v>
      </c>
      <c r="I1756" t="s">
        <v>148</v>
      </c>
    </row>
    <row r="1757" spans="1:9">
      <c r="A1757" s="50">
        <v>45594</v>
      </c>
      <c r="B1757" s="51">
        <v>0.9330208333333333</v>
      </c>
      <c r="C1757" t="s">
        <v>145</v>
      </c>
      <c r="D1757" t="s">
        <v>42</v>
      </c>
      <c r="E1757" t="s">
        <v>47</v>
      </c>
      <c r="F1757" t="s">
        <v>219</v>
      </c>
      <c r="G1757">
        <v>-37680</v>
      </c>
      <c r="H1757" t="s">
        <v>147</v>
      </c>
      <c r="I1757" t="s">
        <v>148</v>
      </c>
    </row>
    <row r="1758" spans="1:9">
      <c r="A1758" s="50">
        <v>45594</v>
      </c>
      <c r="B1758" s="51">
        <v>0.9328472222222223</v>
      </c>
      <c r="C1758" t="s">
        <v>151</v>
      </c>
      <c r="D1758" t="s">
        <v>160</v>
      </c>
      <c r="E1758" t="s">
        <v>47</v>
      </c>
      <c r="F1758" t="s">
        <v>7</v>
      </c>
      <c r="G1758">
        <v>100000</v>
      </c>
      <c r="H1758" t="s">
        <v>147</v>
      </c>
      <c r="I1758" t="s">
        <v>57</v>
      </c>
    </row>
    <row r="1759" spans="1:9">
      <c r="A1759" s="50">
        <v>45594</v>
      </c>
      <c r="B1759" s="51">
        <v>0.7856481481481481</v>
      </c>
      <c r="C1759" t="s">
        <v>145</v>
      </c>
      <c r="D1759" t="s">
        <v>42</v>
      </c>
      <c r="E1759" t="s">
        <v>47</v>
      </c>
      <c r="F1759" t="s">
        <v>170</v>
      </c>
      <c r="G1759">
        <v>-8200</v>
      </c>
      <c r="H1759" t="s">
        <v>147</v>
      </c>
      <c r="I1759" t="s">
        <v>148</v>
      </c>
    </row>
    <row r="1760" spans="1:9">
      <c r="A1760" s="50">
        <v>45594</v>
      </c>
      <c r="B1760" s="51">
        <v>0.5229282407407407</v>
      </c>
      <c r="C1760" t="s">
        <v>145</v>
      </c>
      <c r="D1760" t="s">
        <v>38</v>
      </c>
      <c r="E1760" t="s">
        <v>47</v>
      </c>
      <c r="F1760" t="s">
        <v>489</v>
      </c>
      <c r="G1760">
        <v>-5700</v>
      </c>
      <c r="H1760" t="s">
        <v>147</v>
      </c>
      <c r="I1760" t="s">
        <v>148</v>
      </c>
    </row>
    <row r="1761" spans="1:9">
      <c r="A1761" s="50">
        <v>45593</v>
      </c>
      <c r="B1761" s="51">
        <v>0.8934143518518518</v>
      </c>
      <c r="C1761" t="s">
        <v>145</v>
      </c>
      <c r="D1761" t="s">
        <v>42</v>
      </c>
      <c r="E1761" t="s">
        <v>47</v>
      </c>
      <c r="F1761" t="s">
        <v>158</v>
      </c>
      <c r="G1761">
        <v>-120000</v>
      </c>
      <c r="H1761" t="s">
        <v>147</v>
      </c>
      <c r="I1761" t="s">
        <v>57</v>
      </c>
    </row>
    <row r="1762" spans="1:9">
      <c r="A1762" s="50">
        <v>45593</v>
      </c>
      <c r="B1762" s="51">
        <v>0.7682523148148148</v>
      </c>
      <c r="C1762" t="s">
        <v>145</v>
      </c>
      <c r="D1762" t="s">
        <v>42</v>
      </c>
      <c r="E1762" t="s">
        <v>47</v>
      </c>
      <c r="F1762" t="s">
        <v>253</v>
      </c>
      <c r="G1762">
        <v>-14000</v>
      </c>
      <c r="H1762" t="s">
        <v>147</v>
      </c>
      <c r="I1762" t="s">
        <v>148</v>
      </c>
    </row>
    <row r="1763" spans="1:9">
      <c r="A1763" s="50">
        <v>45593</v>
      </c>
      <c r="B1763" s="51">
        <v>0.7675925925925926</v>
      </c>
      <c r="C1763" t="s">
        <v>145</v>
      </c>
      <c r="D1763" t="s">
        <v>35</v>
      </c>
      <c r="E1763" t="s">
        <v>47</v>
      </c>
      <c r="F1763" t="s">
        <v>202</v>
      </c>
      <c r="G1763">
        <v>-10000</v>
      </c>
      <c r="H1763" t="s">
        <v>147</v>
      </c>
      <c r="I1763" t="s">
        <v>57</v>
      </c>
    </row>
    <row r="1764" spans="1:9">
      <c r="A1764" s="50">
        <v>45593</v>
      </c>
      <c r="B1764" s="51">
        <v>0.7552430555555556</v>
      </c>
      <c r="C1764" t="s">
        <v>145</v>
      </c>
      <c r="D1764" t="s">
        <v>42</v>
      </c>
      <c r="E1764" t="s">
        <v>47</v>
      </c>
      <c r="F1764" t="s">
        <v>158</v>
      </c>
      <c r="G1764">
        <v>-40000</v>
      </c>
      <c r="H1764" t="s">
        <v>147</v>
      </c>
      <c r="I1764" t="s">
        <v>57</v>
      </c>
    </row>
    <row r="1765" spans="1:9">
      <c r="A1765" s="50">
        <v>45593</v>
      </c>
      <c r="B1765" s="51">
        <v>0.3056944444444444</v>
      </c>
      <c r="C1765" t="s">
        <v>145</v>
      </c>
      <c r="D1765" t="s">
        <v>42</v>
      </c>
      <c r="E1765" t="s">
        <v>47</v>
      </c>
      <c r="F1765" t="s">
        <v>159</v>
      </c>
      <c r="G1765">
        <v>-9900</v>
      </c>
      <c r="H1765" t="s">
        <v>147</v>
      </c>
      <c r="I1765" t="s">
        <v>148</v>
      </c>
    </row>
    <row r="1766" spans="1:9">
      <c r="A1766" s="50">
        <v>45592</v>
      </c>
      <c r="B1766" s="51">
        <v>0.7814583333333334</v>
      </c>
      <c r="C1766" t="s">
        <v>145</v>
      </c>
      <c r="D1766" t="s">
        <v>42</v>
      </c>
      <c r="E1766" t="s">
        <v>47</v>
      </c>
      <c r="F1766" t="s">
        <v>158</v>
      </c>
      <c r="G1766">
        <v>-10000</v>
      </c>
      <c r="H1766" t="s">
        <v>147</v>
      </c>
      <c r="I1766" t="s">
        <v>57</v>
      </c>
    </row>
    <row r="1767" spans="1:9">
      <c r="A1767" s="50">
        <v>45592</v>
      </c>
      <c r="B1767" s="51">
        <v>0.6582754629629629</v>
      </c>
      <c r="C1767" t="s">
        <v>145</v>
      </c>
      <c r="D1767" t="s">
        <v>35</v>
      </c>
      <c r="E1767" t="s">
        <v>47</v>
      </c>
      <c r="F1767" t="s">
        <v>197</v>
      </c>
      <c r="G1767">
        <v>-24000</v>
      </c>
      <c r="H1767" t="s">
        <v>147</v>
      </c>
      <c r="I1767" t="s">
        <v>162</v>
      </c>
    </row>
    <row r="1768" spans="1:9">
      <c r="A1768" s="50">
        <v>45592</v>
      </c>
      <c r="B1768" s="51">
        <v>0.6582638888888889</v>
      </c>
      <c r="C1768" t="s">
        <v>151</v>
      </c>
      <c r="D1768" t="s">
        <v>160</v>
      </c>
      <c r="E1768" t="s">
        <v>47</v>
      </c>
      <c r="F1768" t="s">
        <v>163</v>
      </c>
      <c r="G1768">
        <v>-14600</v>
      </c>
      <c r="H1768" t="s">
        <v>147</v>
      </c>
      <c r="I1768" t="s">
        <v>57</v>
      </c>
    </row>
    <row r="1769" spans="1:9">
      <c r="A1769" s="50">
        <v>45592</v>
      </c>
      <c r="B1769" s="51">
        <v>0.6582638888888889</v>
      </c>
      <c r="C1769" t="s">
        <v>151</v>
      </c>
      <c r="D1769" t="s">
        <v>160</v>
      </c>
      <c r="E1769" t="s">
        <v>47</v>
      </c>
      <c r="F1769" t="s">
        <v>161</v>
      </c>
      <c r="G1769">
        <v>14600</v>
      </c>
      <c r="H1769" t="s">
        <v>147</v>
      </c>
      <c r="I1769" t="s">
        <v>162</v>
      </c>
    </row>
    <row r="1770" spans="1:9">
      <c r="A1770" s="50">
        <v>45592</v>
      </c>
      <c r="B1770" s="51">
        <v>0.5570486111111111</v>
      </c>
      <c r="C1770" t="s">
        <v>145</v>
      </c>
      <c r="D1770" t="s">
        <v>45</v>
      </c>
      <c r="E1770" t="s">
        <v>47</v>
      </c>
      <c r="F1770" t="s">
        <v>590</v>
      </c>
      <c r="G1770">
        <v>-5000</v>
      </c>
      <c r="H1770" t="s">
        <v>147</v>
      </c>
      <c r="I1770" t="s">
        <v>154</v>
      </c>
    </row>
    <row r="1771" spans="1:9">
      <c r="A1771" s="50">
        <v>45592</v>
      </c>
      <c r="B1771" s="51">
        <v>0.5570486111111111</v>
      </c>
      <c r="C1771" t="s">
        <v>151</v>
      </c>
      <c r="D1771" t="s">
        <v>160</v>
      </c>
      <c r="E1771" t="s">
        <v>47</v>
      </c>
      <c r="F1771" t="s">
        <v>163</v>
      </c>
      <c r="G1771">
        <v>-10000</v>
      </c>
      <c r="H1771" t="s">
        <v>147</v>
      </c>
      <c r="I1771" t="s">
        <v>57</v>
      </c>
    </row>
    <row r="1772" spans="1:9">
      <c r="A1772" s="50">
        <v>45592</v>
      </c>
      <c r="B1772" s="51">
        <v>0.5570486111111111</v>
      </c>
      <c r="C1772" t="s">
        <v>151</v>
      </c>
      <c r="D1772" t="s">
        <v>160</v>
      </c>
      <c r="E1772" t="s">
        <v>47</v>
      </c>
      <c r="F1772" t="s">
        <v>161</v>
      </c>
      <c r="G1772">
        <v>10000</v>
      </c>
      <c r="H1772" t="s">
        <v>147</v>
      </c>
      <c r="I1772" t="s">
        <v>162</v>
      </c>
    </row>
    <row r="1773" spans="1:9">
      <c r="A1773" s="50">
        <v>45591</v>
      </c>
      <c r="B1773" s="51">
        <v>0.5918171296296296</v>
      </c>
      <c r="C1773" t="s">
        <v>145</v>
      </c>
      <c r="D1773" t="s">
        <v>45</v>
      </c>
      <c r="E1773" t="s">
        <v>47</v>
      </c>
      <c r="F1773" t="s">
        <v>591</v>
      </c>
      <c r="G1773">
        <v>-49200</v>
      </c>
      <c r="H1773" t="s">
        <v>147</v>
      </c>
      <c r="I1773" t="s">
        <v>148</v>
      </c>
    </row>
    <row r="1774" spans="1:9">
      <c r="A1774" s="50">
        <v>45591</v>
      </c>
      <c r="B1774" s="51">
        <v>0.5071180555555556</v>
      </c>
      <c r="C1774" t="s">
        <v>145</v>
      </c>
      <c r="D1774" t="s">
        <v>45</v>
      </c>
      <c r="E1774" t="s">
        <v>47</v>
      </c>
      <c r="F1774" t="s">
        <v>592</v>
      </c>
      <c r="G1774">
        <v>-30900</v>
      </c>
      <c r="H1774" t="s">
        <v>147</v>
      </c>
      <c r="I1774" t="s">
        <v>148</v>
      </c>
    </row>
    <row r="1775" spans="1:9">
      <c r="A1775" s="50">
        <v>45590</v>
      </c>
      <c r="B1775" s="51">
        <v>0.9229513888888888</v>
      </c>
      <c r="C1775" t="s">
        <v>145</v>
      </c>
      <c r="D1775" t="s">
        <v>42</v>
      </c>
      <c r="E1775" t="s">
        <v>47</v>
      </c>
      <c r="F1775" t="s">
        <v>219</v>
      </c>
      <c r="G1775">
        <v>-9500</v>
      </c>
      <c r="H1775" t="s">
        <v>147</v>
      </c>
      <c r="I1775" t="s">
        <v>148</v>
      </c>
    </row>
    <row r="1776" spans="1:9">
      <c r="A1776" s="50">
        <v>45590</v>
      </c>
      <c r="B1776" s="51">
        <v>0.8990856481481482</v>
      </c>
      <c r="C1776" t="s">
        <v>145</v>
      </c>
      <c r="D1776" t="s">
        <v>38</v>
      </c>
      <c r="E1776" t="s">
        <v>47</v>
      </c>
      <c r="F1776" t="s">
        <v>544</v>
      </c>
      <c r="G1776">
        <v>-10600</v>
      </c>
      <c r="H1776" t="s">
        <v>147</v>
      </c>
      <c r="I1776" t="s">
        <v>148</v>
      </c>
    </row>
    <row r="1777" spans="1:9">
      <c r="A1777" s="50">
        <v>45590</v>
      </c>
      <c r="B1777" s="51">
        <v>0.805625</v>
      </c>
      <c r="C1777" t="s">
        <v>145</v>
      </c>
      <c r="D1777" t="s">
        <v>35</v>
      </c>
      <c r="E1777" t="s">
        <v>204</v>
      </c>
      <c r="F1777" t="s">
        <v>593</v>
      </c>
      <c r="G1777">
        <v>-32200</v>
      </c>
      <c r="H1777" t="s">
        <v>147</v>
      </c>
      <c r="I1777" t="s">
        <v>57</v>
      </c>
    </row>
    <row r="1778" spans="1:9">
      <c r="A1778" s="50">
        <v>45590</v>
      </c>
      <c r="B1778" s="51">
        <v>0.8056134259259259</v>
      </c>
      <c r="C1778" t="s">
        <v>145</v>
      </c>
      <c r="D1778" t="s">
        <v>35</v>
      </c>
      <c r="E1778" t="s">
        <v>207</v>
      </c>
      <c r="F1778" t="s">
        <v>208</v>
      </c>
      <c r="G1778">
        <v>-3097</v>
      </c>
      <c r="H1778" t="s">
        <v>147</v>
      </c>
      <c r="I1778" t="s">
        <v>57</v>
      </c>
    </row>
    <row r="1779" spans="1:9">
      <c r="A1779" s="50">
        <v>45590</v>
      </c>
      <c r="B1779" s="51">
        <v>0.7852662037037037</v>
      </c>
      <c r="C1779" t="s">
        <v>145</v>
      </c>
      <c r="D1779" t="s">
        <v>35</v>
      </c>
      <c r="E1779" t="s">
        <v>204</v>
      </c>
      <c r="F1779" t="s">
        <v>577</v>
      </c>
      <c r="G1779">
        <v>-55670</v>
      </c>
      <c r="H1779" t="s">
        <v>147</v>
      </c>
      <c r="I1779" t="s">
        <v>57</v>
      </c>
    </row>
    <row r="1780" spans="1:9">
      <c r="A1780" s="50">
        <v>45590</v>
      </c>
      <c r="B1780" s="51">
        <v>0.7762847222222222</v>
      </c>
      <c r="C1780" t="s">
        <v>151</v>
      </c>
      <c r="D1780" t="s">
        <v>198</v>
      </c>
      <c r="E1780" t="s">
        <v>47</v>
      </c>
      <c r="F1780" t="s">
        <v>211</v>
      </c>
      <c r="G1780">
        <v>-20000</v>
      </c>
      <c r="H1780" t="s">
        <v>147</v>
      </c>
      <c r="I1780" t="s">
        <v>57</v>
      </c>
    </row>
    <row r="1781" spans="1:9">
      <c r="A1781" s="50">
        <v>45590</v>
      </c>
      <c r="B1781" s="51">
        <v>0.7733564814814815</v>
      </c>
      <c r="C1781" t="s">
        <v>145</v>
      </c>
      <c r="D1781" t="s">
        <v>42</v>
      </c>
      <c r="E1781" t="s">
        <v>47</v>
      </c>
      <c r="F1781" t="s">
        <v>594</v>
      </c>
      <c r="G1781">
        <v>-40000</v>
      </c>
      <c r="H1781" t="s">
        <v>147</v>
      </c>
      <c r="I1781" t="s">
        <v>57</v>
      </c>
    </row>
    <row r="1782" spans="1:9">
      <c r="A1782" s="50">
        <v>45590</v>
      </c>
      <c r="B1782" s="51">
        <v>0.7722222222222223</v>
      </c>
      <c r="C1782" t="s">
        <v>145</v>
      </c>
      <c r="D1782" t="s">
        <v>44</v>
      </c>
      <c r="E1782" t="s">
        <v>220</v>
      </c>
      <c r="F1782" t="s">
        <v>595</v>
      </c>
      <c r="G1782">
        <v>-32600</v>
      </c>
      <c r="H1782" t="s">
        <v>147</v>
      </c>
      <c r="I1782" t="s">
        <v>148</v>
      </c>
    </row>
    <row r="1783" spans="1:9">
      <c r="A1783" s="50">
        <v>45590</v>
      </c>
      <c r="B1783" s="51">
        <v>0.7370717592592593</v>
      </c>
      <c r="C1783" t="s">
        <v>145</v>
      </c>
      <c r="D1783" t="s">
        <v>38</v>
      </c>
      <c r="E1783" t="s">
        <v>47</v>
      </c>
      <c r="F1783" t="s">
        <v>489</v>
      </c>
      <c r="G1783">
        <v>-2500</v>
      </c>
      <c r="H1783" t="s">
        <v>147</v>
      </c>
      <c r="I1783" t="s">
        <v>148</v>
      </c>
    </row>
    <row r="1784" spans="1:9">
      <c r="A1784" s="50">
        <v>45590</v>
      </c>
      <c r="B1784" s="51">
        <v>0.7330092592592593</v>
      </c>
      <c r="C1784" t="s">
        <v>145</v>
      </c>
      <c r="D1784" t="s">
        <v>45</v>
      </c>
      <c r="E1784" t="s">
        <v>47</v>
      </c>
      <c r="F1784" t="s">
        <v>596</v>
      </c>
      <c r="G1784">
        <v>-5600</v>
      </c>
      <c r="H1784" t="s">
        <v>147</v>
      </c>
      <c r="I1784" t="s">
        <v>154</v>
      </c>
    </row>
    <row r="1785" spans="1:9">
      <c r="A1785" s="50">
        <v>45590</v>
      </c>
      <c r="B1785" s="51">
        <v>0.7330092592592593</v>
      </c>
      <c r="C1785" t="s">
        <v>151</v>
      </c>
      <c r="D1785" t="s">
        <v>160</v>
      </c>
      <c r="E1785" t="s">
        <v>47</v>
      </c>
      <c r="F1785" t="s">
        <v>163</v>
      </c>
      <c r="G1785">
        <v>-10000</v>
      </c>
      <c r="H1785" t="s">
        <v>147</v>
      </c>
      <c r="I1785" t="s">
        <v>57</v>
      </c>
    </row>
    <row r="1786" spans="1:9">
      <c r="A1786" s="50">
        <v>45590</v>
      </c>
      <c r="B1786" s="51">
        <v>0.7330092592592593</v>
      </c>
      <c r="C1786" t="s">
        <v>151</v>
      </c>
      <c r="D1786" t="s">
        <v>160</v>
      </c>
      <c r="E1786" t="s">
        <v>47</v>
      </c>
      <c r="F1786" t="s">
        <v>161</v>
      </c>
      <c r="G1786">
        <v>10000</v>
      </c>
      <c r="H1786" t="s">
        <v>147</v>
      </c>
      <c r="I1786" t="s">
        <v>162</v>
      </c>
    </row>
    <row r="1787" spans="1:9">
      <c r="A1787" s="50">
        <v>45590</v>
      </c>
      <c r="B1787" s="51">
        <v>0.6985300925925926</v>
      </c>
      <c r="C1787" t="s">
        <v>151</v>
      </c>
      <c r="D1787" t="s">
        <v>151</v>
      </c>
      <c r="E1787" t="s">
        <v>47</v>
      </c>
      <c r="F1787" t="s">
        <v>163</v>
      </c>
      <c r="G1787">
        <v>-13000</v>
      </c>
      <c r="H1787" t="s">
        <v>147</v>
      </c>
      <c r="I1787" t="s">
        <v>57</v>
      </c>
    </row>
    <row r="1788" spans="1:9">
      <c r="A1788" s="50">
        <v>45590</v>
      </c>
      <c r="B1788" s="51">
        <v>0.5095833333333334</v>
      </c>
      <c r="C1788" t="s">
        <v>145</v>
      </c>
      <c r="D1788" t="s">
        <v>42</v>
      </c>
      <c r="E1788" t="s">
        <v>47</v>
      </c>
      <c r="F1788" t="s">
        <v>153</v>
      </c>
      <c r="G1788">
        <v>-42000</v>
      </c>
      <c r="H1788" t="s">
        <v>147</v>
      </c>
      <c r="I1788" t="s">
        <v>154</v>
      </c>
    </row>
    <row r="1789" spans="1:9">
      <c r="A1789" s="50">
        <v>45590</v>
      </c>
      <c r="B1789" s="51">
        <v>0.5095833333333334</v>
      </c>
      <c r="C1789" t="s">
        <v>151</v>
      </c>
      <c r="D1789" t="s">
        <v>160</v>
      </c>
      <c r="E1789" t="s">
        <v>47</v>
      </c>
      <c r="F1789" t="s">
        <v>163</v>
      </c>
      <c r="G1789">
        <v>-32660</v>
      </c>
      <c r="H1789" t="s">
        <v>147</v>
      </c>
      <c r="I1789" t="s">
        <v>57</v>
      </c>
    </row>
    <row r="1790" spans="1:9">
      <c r="A1790" s="50">
        <v>45590</v>
      </c>
      <c r="B1790" s="51">
        <v>0.5095833333333334</v>
      </c>
      <c r="C1790" t="s">
        <v>151</v>
      </c>
      <c r="D1790" t="s">
        <v>160</v>
      </c>
      <c r="E1790" t="s">
        <v>47</v>
      </c>
      <c r="F1790" t="s">
        <v>161</v>
      </c>
      <c r="G1790">
        <v>32660</v>
      </c>
      <c r="H1790" t="s">
        <v>147</v>
      </c>
      <c r="I1790" t="s">
        <v>162</v>
      </c>
    </row>
    <row r="1791" spans="1:9">
      <c r="A1791" s="50">
        <v>45590</v>
      </c>
      <c r="B1791" s="51">
        <v>0.4279398148148148</v>
      </c>
      <c r="C1791" t="s">
        <v>151</v>
      </c>
      <c r="D1791" t="s">
        <v>160</v>
      </c>
      <c r="E1791" t="s">
        <v>47</v>
      </c>
      <c r="F1791" t="s">
        <v>7</v>
      </c>
      <c r="G1791">
        <v>-500000</v>
      </c>
      <c r="H1791" t="s">
        <v>147</v>
      </c>
      <c r="I1791" t="s">
        <v>57</v>
      </c>
    </row>
    <row r="1792" spans="1:9">
      <c r="A1792" s="50">
        <v>45590</v>
      </c>
      <c r="B1792" s="51">
        <v>0.3942824074074074</v>
      </c>
      <c r="C1792" t="s">
        <v>151</v>
      </c>
      <c r="D1792" t="s">
        <v>160</v>
      </c>
      <c r="E1792" t="s">
        <v>47</v>
      </c>
      <c r="F1792" t="s">
        <v>7</v>
      </c>
      <c r="G1792">
        <v>-1000000</v>
      </c>
      <c r="H1792" t="s">
        <v>147</v>
      </c>
      <c r="I1792" t="s">
        <v>57</v>
      </c>
    </row>
    <row r="1793" spans="1:9">
      <c r="A1793" s="50">
        <v>45590</v>
      </c>
      <c r="B1793" s="51">
        <v>0.3942824074074074</v>
      </c>
      <c r="C1793" t="s">
        <v>151</v>
      </c>
      <c r="D1793" t="s">
        <v>160</v>
      </c>
      <c r="E1793" t="s">
        <v>47</v>
      </c>
      <c r="F1793" t="s">
        <v>7</v>
      </c>
      <c r="G1793">
        <v>1000000</v>
      </c>
      <c r="H1793" t="s">
        <v>147</v>
      </c>
      <c r="I1793" t="s">
        <v>61</v>
      </c>
    </row>
    <row r="1794" spans="1:9">
      <c r="A1794" s="50">
        <v>45590</v>
      </c>
      <c r="B1794" s="51">
        <v>0.3753587962962963</v>
      </c>
      <c r="C1794" t="s">
        <v>151</v>
      </c>
      <c r="D1794" t="s">
        <v>198</v>
      </c>
      <c r="E1794" t="s">
        <v>47</v>
      </c>
      <c r="F1794" t="s">
        <v>214</v>
      </c>
      <c r="G1794">
        <v>-100000</v>
      </c>
      <c r="H1794" t="s">
        <v>147</v>
      </c>
      <c r="I1794" t="s">
        <v>57</v>
      </c>
    </row>
    <row r="1795" spans="1:9">
      <c r="A1795" s="50">
        <v>45590</v>
      </c>
      <c r="B1795" s="51">
        <v>0.3638310185185185</v>
      </c>
      <c r="C1795" t="s">
        <v>151</v>
      </c>
      <c r="D1795" t="s">
        <v>198</v>
      </c>
      <c r="E1795" t="s">
        <v>47</v>
      </c>
      <c r="F1795" t="s">
        <v>213</v>
      </c>
      <c r="G1795">
        <v>2186800</v>
      </c>
      <c r="H1795" t="s">
        <v>147</v>
      </c>
      <c r="I1795" t="s">
        <v>57</v>
      </c>
    </row>
    <row r="1796" spans="1:9">
      <c r="A1796" s="50">
        <v>45589</v>
      </c>
      <c r="B1796" s="51">
        <v>0.7613657407407407</v>
      </c>
      <c r="C1796" t="s">
        <v>145</v>
      </c>
      <c r="D1796" t="s">
        <v>44</v>
      </c>
      <c r="E1796" t="s">
        <v>220</v>
      </c>
      <c r="F1796" t="s">
        <v>221</v>
      </c>
      <c r="G1796">
        <v>-30100</v>
      </c>
      <c r="H1796" t="s">
        <v>147</v>
      </c>
      <c r="I1796" t="s">
        <v>57</v>
      </c>
    </row>
    <row r="1797" spans="1:9">
      <c r="A1797" s="50">
        <v>45589</v>
      </c>
      <c r="B1797" s="51">
        <v>0.3757407407407408</v>
      </c>
      <c r="C1797" t="s">
        <v>145</v>
      </c>
      <c r="D1797" t="s">
        <v>42</v>
      </c>
      <c r="E1797" t="s">
        <v>47</v>
      </c>
      <c r="F1797" t="s">
        <v>153</v>
      </c>
      <c r="G1797">
        <v>-3900</v>
      </c>
      <c r="H1797" t="s">
        <v>147</v>
      </c>
      <c r="I1797" t="s">
        <v>154</v>
      </c>
    </row>
    <row r="1798" spans="1:9">
      <c r="A1798" s="50">
        <v>45589</v>
      </c>
      <c r="B1798" s="51">
        <v>0.3757407407407408</v>
      </c>
      <c r="C1798" t="s">
        <v>151</v>
      </c>
      <c r="D1798" t="s">
        <v>160</v>
      </c>
      <c r="E1798" t="s">
        <v>47</v>
      </c>
      <c r="F1798" t="s">
        <v>163</v>
      </c>
      <c r="G1798">
        <v>-10000</v>
      </c>
      <c r="H1798" t="s">
        <v>147</v>
      </c>
      <c r="I1798" t="s">
        <v>57</v>
      </c>
    </row>
    <row r="1799" spans="1:9">
      <c r="A1799" s="50">
        <v>45589</v>
      </c>
      <c r="B1799" s="51">
        <v>0.3757407407407408</v>
      </c>
      <c r="C1799" t="s">
        <v>151</v>
      </c>
      <c r="D1799" t="s">
        <v>160</v>
      </c>
      <c r="E1799" t="s">
        <v>47</v>
      </c>
      <c r="F1799" t="s">
        <v>161</v>
      </c>
      <c r="G1799">
        <v>10000</v>
      </c>
      <c r="H1799" t="s">
        <v>147</v>
      </c>
      <c r="I1799" t="s">
        <v>162</v>
      </c>
    </row>
    <row r="1800" spans="1:9">
      <c r="A1800" s="50">
        <v>45588</v>
      </c>
      <c r="B1800" s="51">
        <v>0.8576736111111111</v>
      </c>
      <c r="C1800" t="s">
        <v>145</v>
      </c>
      <c r="D1800" t="s">
        <v>38</v>
      </c>
      <c r="E1800" t="s">
        <v>47</v>
      </c>
      <c r="F1800" t="s">
        <v>544</v>
      </c>
      <c r="G1800">
        <v>-10250</v>
      </c>
      <c r="H1800" t="s">
        <v>147</v>
      </c>
      <c r="I1800" t="s">
        <v>148</v>
      </c>
    </row>
    <row r="1801" spans="1:9">
      <c r="A1801" s="50">
        <v>45588</v>
      </c>
      <c r="B1801" s="51">
        <v>0.8523495370370371</v>
      </c>
      <c r="C1801" t="s">
        <v>151</v>
      </c>
      <c r="D1801" t="s">
        <v>151</v>
      </c>
      <c r="E1801" t="s">
        <v>47</v>
      </c>
      <c r="F1801" t="s">
        <v>597</v>
      </c>
      <c r="G1801">
        <v>-9000</v>
      </c>
      <c r="H1801" t="s">
        <v>147</v>
      </c>
      <c r="I1801" t="s">
        <v>162</v>
      </c>
    </row>
    <row r="1802" spans="1:9">
      <c r="A1802" s="50">
        <v>45588</v>
      </c>
      <c r="B1802" s="51">
        <v>0.8523379629629629</v>
      </c>
      <c r="C1802" t="s">
        <v>151</v>
      </c>
      <c r="D1802" t="s">
        <v>160</v>
      </c>
      <c r="E1802" t="s">
        <v>47</v>
      </c>
      <c r="F1802" t="s">
        <v>163</v>
      </c>
      <c r="G1802">
        <v>-10000</v>
      </c>
      <c r="H1802" t="s">
        <v>147</v>
      </c>
      <c r="I1802" t="s">
        <v>57</v>
      </c>
    </row>
    <row r="1803" spans="1:9">
      <c r="A1803" s="50">
        <v>45588</v>
      </c>
      <c r="B1803" s="51">
        <v>0.8523379629629629</v>
      </c>
      <c r="C1803" t="s">
        <v>151</v>
      </c>
      <c r="D1803" t="s">
        <v>160</v>
      </c>
      <c r="E1803" t="s">
        <v>47</v>
      </c>
      <c r="F1803" t="s">
        <v>161</v>
      </c>
      <c r="G1803">
        <v>10000</v>
      </c>
      <c r="H1803" t="s">
        <v>147</v>
      </c>
      <c r="I1803" t="s">
        <v>162</v>
      </c>
    </row>
    <row r="1804" spans="1:9">
      <c r="A1804" s="50">
        <v>45588</v>
      </c>
      <c r="B1804" s="51">
        <v>0.7665856481481481</v>
      </c>
      <c r="C1804" t="s">
        <v>145</v>
      </c>
      <c r="D1804" t="s">
        <v>38</v>
      </c>
      <c r="E1804" t="s">
        <v>47</v>
      </c>
      <c r="F1804" t="s">
        <v>598</v>
      </c>
      <c r="G1804">
        <v>-7000</v>
      </c>
      <c r="H1804" t="s">
        <v>147</v>
      </c>
      <c r="I1804" t="s">
        <v>148</v>
      </c>
    </row>
    <row r="1805" spans="1:9">
      <c r="A1805" s="50">
        <v>45588</v>
      </c>
      <c r="B1805" s="51">
        <v>0.4550231481481481</v>
      </c>
      <c r="C1805" t="s">
        <v>151</v>
      </c>
      <c r="D1805" t="s">
        <v>160</v>
      </c>
      <c r="E1805" t="s">
        <v>47</v>
      </c>
      <c r="F1805" t="s">
        <v>7</v>
      </c>
      <c r="G1805">
        <v>-200000</v>
      </c>
      <c r="H1805" t="s">
        <v>147</v>
      </c>
      <c r="I1805" t="s">
        <v>57</v>
      </c>
    </row>
    <row r="1806" spans="1:9">
      <c r="A1806" s="50">
        <v>45588</v>
      </c>
      <c r="B1806" s="51">
        <v>0.4310300925925926</v>
      </c>
      <c r="C1806" t="s">
        <v>145</v>
      </c>
      <c r="D1806" t="s">
        <v>32</v>
      </c>
      <c r="E1806" t="s">
        <v>47</v>
      </c>
      <c r="F1806" t="s">
        <v>599</v>
      </c>
      <c r="G1806">
        <v>-22000</v>
      </c>
      <c r="H1806" t="s">
        <v>147</v>
      </c>
      <c r="I1806" t="s">
        <v>154</v>
      </c>
    </row>
    <row r="1807" spans="1:9">
      <c r="A1807" s="50">
        <v>45588</v>
      </c>
      <c r="B1807" s="51">
        <v>0.4310300925925926</v>
      </c>
      <c r="C1807" t="s">
        <v>151</v>
      </c>
      <c r="D1807" t="s">
        <v>160</v>
      </c>
      <c r="E1807" t="s">
        <v>47</v>
      </c>
      <c r="F1807" t="s">
        <v>163</v>
      </c>
      <c r="G1807">
        <v>-10000</v>
      </c>
      <c r="H1807" t="s">
        <v>147</v>
      </c>
      <c r="I1807" t="s">
        <v>57</v>
      </c>
    </row>
    <row r="1808" spans="1:9">
      <c r="A1808" s="50">
        <v>45588</v>
      </c>
      <c r="B1808" s="51">
        <v>0.4310300925925926</v>
      </c>
      <c r="C1808" t="s">
        <v>151</v>
      </c>
      <c r="D1808" t="s">
        <v>160</v>
      </c>
      <c r="E1808" t="s">
        <v>47</v>
      </c>
      <c r="F1808" t="s">
        <v>161</v>
      </c>
      <c r="G1808">
        <v>10000</v>
      </c>
      <c r="H1808" t="s">
        <v>147</v>
      </c>
      <c r="I1808" t="s">
        <v>162</v>
      </c>
    </row>
    <row r="1809" spans="1:9">
      <c r="A1809" s="50">
        <v>45587</v>
      </c>
      <c r="B1809" s="51">
        <v>0.9282291666666667</v>
      </c>
      <c r="C1809" t="s">
        <v>151</v>
      </c>
      <c r="D1809" t="s">
        <v>160</v>
      </c>
      <c r="E1809" t="s">
        <v>47</v>
      </c>
      <c r="F1809" t="s">
        <v>7</v>
      </c>
      <c r="G1809">
        <v>300000</v>
      </c>
      <c r="H1809" t="s">
        <v>147</v>
      </c>
      <c r="I1809" t="s">
        <v>57</v>
      </c>
    </row>
    <row r="1810" spans="1:9">
      <c r="A1810" s="50">
        <v>45586</v>
      </c>
      <c r="B1810" s="51">
        <v>0.7795833333333333</v>
      </c>
      <c r="C1810" t="s">
        <v>145</v>
      </c>
      <c r="D1810" t="s">
        <v>44</v>
      </c>
      <c r="E1810" t="s">
        <v>220</v>
      </c>
      <c r="F1810" t="s">
        <v>221</v>
      </c>
      <c r="G1810">
        <v>-64116</v>
      </c>
      <c r="H1810" t="s">
        <v>147</v>
      </c>
      <c r="I1810" t="s">
        <v>57</v>
      </c>
    </row>
    <row r="1811" spans="1:9">
      <c r="A1811" s="50">
        <v>45585</v>
      </c>
      <c r="B1811" s="51">
        <v>0.5510648148148148</v>
      </c>
      <c r="C1811" t="s">
        <v>151</v>
      </c>
      <c r="D1811" t="s">
        <v>151</v>
      </c>
      <c r="E1811" t="s">
        <v>47</v>
      </c>
      <c r="F1811" t="s">
        <v>392</v>
      </c>
      <c r="G1811">
        <v>-1000000</v>
      </c>
      <c r="H1811" t="s">
        <v>147</v>
      </c>
      <c r="I1811" t="s">
        <v>61</v>
      </c>
    </row>
    <row r="1812" spans="1:9">
      <c r="A1812" s="50">
        <v>45584</v>
      </c>
      <c r="B1812" s="51">
        <v>0.9036342592592592</v>
      </c>
      <c r="C1812" t="s">
        <v>145</v>
      </c>
      <c r="D1812" t="s">
        <v>36</v>
      </c>
      <c r="E1812" t="s">
        <v>47</v>
      </c>
      <c r="F1812" t="s">
        <v>559</v>
      </c>
      <c r="G1812">
        <v>-5000</v>
      </c>
      <c r="H1812" t="s">
        <v>147</v>
      </c>
      <c r="I1812" t="s">
        <v>154</v>
      </c>
    </row>
    <row r="1813" spans="1:9">
      <c r="A1813" s="50">
        <v>45584</v>
      </c>
      <c r="B1813" s="51">
        <v>0.5739814814814815</v>
      </c>
      <c r="C1813" t="s">
        <v>151</v>
      </c>
      <c r="D1813" t="s">
        <v>151</v>
      </c>
      <c r="E1813" t="s">
        <v>47</v>
      </c>
      <c r="F1813" t="s">
        <v>392</v>
      </c>
      <c r="G1813">
        <v>-300000</v>
      </c>
      <c r="H1813" t="s">
        <v>147</v>
      </c>
      <c r="I1813" t="s">
        <v>57</v>
      </c>
    </row>
    <row r="1814" spans="1:9">
      <c r="A1814" s="50">
        <v>45584</v>
      </c>
      <c r="B1814" s="51">
        <v>0.5736921296296297</v>
      </c>
      <c r="C1814" t="s">
        <v>151</v>
      </c>
      <c r="D1814" t="s">
        <v>160</v>
      </c>
      <c r="E1814" t="s">
        <v>47</v>
      </c>
      <c r="F1814" t="s">
        <v>7</v>
      </c>
      <c r="G1814">
        <v>200000</v>
      </c>
      <c r="H1814" t="s">
        <v>147</v>
      </c>
      <c r="I1814" t="s">
        <v>57</v>
      </c>
    </row>
    <row r="1815" spans="1:9">
      <c r="A1815" s="50">
        <v>45584</v>
      </c>
      <c r="B1815" s="51">
        <v>0.5736805555555555</v>
      </c>
      <c r="C1815" t="s">
        <v>151</v>
      </c>
      <c r="D1815" t="s">
        <v>160</v>
      </c>
      <c r="E1815" t="s">
        <v>47</v>
      </c>
      <c r="F1815" t="s">
        <v>161</v>
      </c>
      <c r="G1815">
        <v>-200000</v>
      </c>
      <c r="H1815" t="s">
        <v>147</v>
      </c>
      <c r="I1815" t="s">
        <v>162</v>
      </c>
    </row>
    <row r="1816" spans="1:9">
      <c r="A1816" s="50">
        <v>45584</v>
      </c>
      <c r="B1816" s="51">
        <v>0.5729861111111111</v>
      </c>
      <c r="C1816" t="s">
        <v>151</v>
      </c>
      <c r="D1816" t="s">
        <v>151</v>
      </c>
      <c r="E1816" t="s">
        <v>47</v>
      </c>
      <c r="F1816" t="s">
        <v>600</v>
      </c>
      <c r="G1816">
        <v>200000</v>
      </c>
      <c r="H1816" t="s">
        <v>147</v>
      </c>
      <c r="I1816" t="s">
        <v>162</v>
      </c>
    </row>
    <row r="1817" spans="1:9">
      <c r="A1817" s="50">
        <v>45584</v>
      </c>
      <c r="B1817" s="51">
        <v>0.3189467592592592</v>
      </c>
      <c r="C1817" t="s">
        <v>151</v>
      </c>
      <c r="D1817" t="s">
        <v>151</v>
      </c>
      <c r="E1817" t="s">
        <v>47</v>
      </c>
      <c r="F1817" t="s">
        <v>560</v>
      </c>
      <c r="G1817">
        <v>-44000</v>
      </c>
      <c r="H1817" t="s">
        <v>147</v>
      </c>
      <c r="I1817" t="s">
        <v>57</v>
      </c>
    </row>
    <row r="1818" spans="1:9">
      <c r="A1818" s="50">
        <v>45582</v>
      </c>
      <c r="B1818" s="51">
        <v>0.5692939814814815</v>
      </c>
      <c r="C1818" t="s">
        <v>151</v>
      </c>
      <c r="D1818" t="s">
        <v>160</v>
      </c>
      <c r="E1818" t="s">
        <v>47</v>
      </c>
      <c r="F1818" t="s">
        <v>7</v>
      </c>
      <c r="G1818">
        <v>-100000</v>
      </c>
      <c r="H1818" t="s">
        <v>147</v>
      </c>
      <c r="I1818" t="s">
        <v>61</v>
      </c>
    </row>
    <row r="1819" spans="1:9">
      <c r="A1819" s="50">
        <v>45582</v>
      </c>
      <c r="B1819" s="51">
        <v>0.5692939814814815</v>
      </c>
      <c r="C1819" t="s">
        <v>151</v>
      </c>
      <c r="D1819" t="s">
        <v>160</v>
      </c>
      <c r="E1819" t="s">
        <v>47</v>
      </c>
      <c r="F1819" t="s">
        <v>7</v>
      </c>
      <c r="G1819">
        <v>100000</v>
      </c>
      <c r="H1819" t="s">
        <v>147</v>
      </c>
      <c r="I1819" t="s">
        <v>57</v>
      </c>
    </row>
    <row r="1820" spans="1:9">
      <c r="A1820" s="50">
        <v>45582</v>
      </c>
      <c r="B1820" s="51">
        <v>0.4508564814814815</v>
      </c>
      <c r="C1820" t="s">
        <v>145</v>
      </c>
      <c r="D1820" t="s">
        <v>42</v>
      </c>
      <c r="E1820" t="s">
        <v>47</v>
      </c>
      <c r="F1820" t="s">
        <v>300</v>
      </c>
      <c r="G1820">
        <v>-7890</v>
      </c>
      <c r="H1820" t="s">
        <v>147</v>
      </c>
      <c r="I1820" t="s">
        <v>148</v>
      </c>
    </row>
    <row r="1821" spans="1:9">
      <c r="A1821" s="50">
        <v>45581</v>
      </c>
      <c r="B1821" s="51">
        <v>0.7184375</v>
      </c>
      <c r="C1821" t="s">
        <v>145</v>
      </c>
      <c r="D1821" t="s">
        <v>42</v>
      </c>
      <c r="E1821" t="s">
        <v>47</v>
      </c>
      <c r="F1821" t="s">
        <v>158</v>
      </c>
      <c r="G1821">
        <v>-10000</v>
      </c>
      <c r="H1821" t="s">
        <v>147</v>
      </c>
      <c r="I1821" t="s">
        <v>57</v>
      </c>
    </row>
    <row r="1822" spans="1:9">
      <c r="A1822" s="50">
        <v>45581</v>
      </c>
      <c r="B1822" s="51">
        <v>0.6536458333333334</v>
      </c>
      <c r="C1822" t="s">
        <v>145</v>
      </c>
      <c r="D1822" t="s">
        <v>42</v>
      </c>
      <c r="E1822" t="s">
        <v>47</v>
      </c>
      <c r="F1822" t="s">
        <v>158</v>
      </c>
      <c r="G1822">
        <v>-40000</v>
      </c>
      <c r="H1822" t="s">
        <v>147</v>
      </c>
      <c r="I1822" t="s">
        <v>57</v>
      </c>
    </row>
    <row r="1823" spans="1:9">
      <c r="A1823" s="50">
        <v>45581</v>
      </c>
      <c r="B1823" s="51">
        <v>0.4280208333333334</v>
      </c>
      <c r="C1823" t="s">
        <v>151</v>
      </c>
      <c r="D1823" t="s">
        <v>160</v>
      </c>
      <c r="E1823" t="s">
        <v>47</v>
      </c>
      <c r="F1823" t="s">
        <v>7</v>
      </c>
      <c r="G1823">
        <v>-200000</v>
      </c>
      <c r="H1823" t="s">
        <v>147</v>
      </c>
      <c r="I1823" t="s">
        <v>61</v>
      </c>
    </row>
    <row r="1824" spans="1:9">
      <c r="A1824" s="50">
        <v>45580</v>
      </c>
      <c r="B1824" s="51">
        <v>0.9877546296296297</v>
      </c>
      <c r="C1824" t="s">
        <v>145</v>
      </c>
      <c r="D1824" t="s">
        <v>42</v>
      </c>
      <c r="E1824" t="s">
        <v>47</v>
      </c>
      <c r="F1824" t="s">
        <v>599</v>
      </c>
      <c r="G1824">
        <v>-149985</v>
      </c>
      <c r="H1824" t="s">
        <v>147</v>
      </c>
      <c r="I1824" t="s">
        <v>154</v>
      </c>
    </row>
    <row r="1825" spans="1:9">
      <c r="A1825" s="50">
        <v>45580</v>
      </c>
      <c r="B1825" s="51">
        <v>0.9023842592592592</v>
      </c>
      <c r="C1825" t="s">
        <v>151</v>
      </c>
      <c r="D1825" t="s">
        <v>151</v>
      </c>
      <c r="E1825" t="s">
        <v>47</v>
      </c>
      <c r="F1825" t="s">
        <v>601</v>
      </c>
      <c r="G1825">
        <v>161200</v>
      </c>
      <c r="H1825" t="s">
        <v>147</v>
      </c>
      <c r="I1825" t="s">
        <v>162</v>
      </c>
    </row>
    <row r="1826" spans="1:9">
      <c r="A1826" s="50">
        <v>45580</v>
      </c>
      <c r="B1826" s="51">
        <v>0.8678703703703704</v>
      </c>
      <c r="C1826" t="s">
        <v>145</v>
      </c>
      <c r="D1826" t="s">
        <v>36</v>
      </c>
      <c r="E1826" t="s">
        <v>47</v>
      </c>
      <c r="F1826" t="s">
        <v>602</v>
      </c>
      <c r="G1826">
        <v>-161200</v>
      </c>
      <c r="H1826" t="s">
        <v>147</v>
      </c>
      <c r="I1826" t="s">
        <v>148</v>
      </c>
    </row>
    <row r="1827" spans="1:9">
      <c r="A1827" s="50">
        <v>45580</v>
      </c>
      <c r="B1827" s="51">
        <v>0.8245254629629629</v>
      </c>
      <c r="C1827" t="s">
        <v>151</v>
      </c>
      <c r="D1827" t="s">
        <v>160</v>
      </c>
      <c r="E1827" t="s">
        <v>47</v>
      </c>
      <c r="F1827" t="s">
        <v>7</v>
      </c>
      <c r="G1827">
        <v>-230000</v>
      </c>
      <c r="H1827" t="s">
        <v>147</v>
      </c>
      <c r="I1827" t="s">
        <v>61</v>
      </c>
    </row>
    <row r="1828" spans="1:9">
      <c r="A1828" s="50">
        <v>45580</v>
      </c>
      <c r="B1828" s="51">
        <v>0.8245254629629629</v>
      </c>
      <c r="C1828" t="s">
        <v>151</v>
      </c>
      <c r="D1828" t="s">
        <v>160</v>
      </c>
      <c r="E1828" t="s">
        <v>47</v>
      </c>
      <c r="F1828" t="s">
        <v>7</v>
      </c>
      <c r="G1828">
        <v>230000</v>
      </c>
      <c r="H1828" t="s">
        <v>147</v>
      </c>
      <c r="I1828" t="s">
        <v>57</v>
      </c>
    </row>
    <row r="1829" spans="1:9">
      <c r="A1829" s="50">
        <v>45580</v>
      </c>
      <c r="B1829" s="51">
        <v>0.7789236111111111</v>
      </c>
      <c r="C1829" t="s">
        <v>145</v>
      </c>
      <c r="D1829" t="s">
        <v>35</v>
      </c>
      <c r="E1829" t="s">
        <v>204</v>
      </c>
      <c r="F1829" t="s">
        <v>511</v>
      </c>
      <c r="G1829">
        <v>-28200</v>
      </c>
      <c r="H1829" t="s">
        <v>147</v>
      </c>
      <c r="I1829" t="s">
        <v>57</v>
      </c>
    </row>
    <row r="1830" spans="1:9">
      <c r="A1830" s="50">
        <v>45580</v>
      </c>
      <c r="B1830" s="51">
        <v>0.4574652777777778</v>
      </c>
      <c r="C1830" t="s">
        <v>145</v>
      </c>
      <c r="D1830" t="s">
        <v>32</v>
      </c>
      <c r="E1830" t="s">
        <v>47</v>
      </c>
      <c r="F1830" t="s">
        <v>583</v>
      </c>
      <c r="G1830">
        <v>-30000</v>
      </c>
      <c r="H1830" t="s">
        <v>147</v>
      </c>
      <c r="I1830" t="s">
        <v>148</v>
      </c>
    </row>
    <row r="1831" spans="1:9">
      <c r="A1831" s="50">
        <v>45580</v>
      </c>
      <c r="B1831" s="51">
        <v>0.446724537037037</v>
      </c>
      <c r="C1831" t="s">
        <v>151</v>
      </c>
      <c r="D1831" t="s">
        <v>151</v>
      </c>
      <c r="E1831" t="s">
        <v>47</v>
      </c>
      <c r="F1831" t="s">
        <v>163</v>
      </c>
      <c r="G1831">
        <v>-10000</v>
      </c>
      <c r="H1831" t="s">
        <v>147</v>
      </c>
      <c r="I1831" t="s">
        <v>57</v>
      </c>
    </row>
    <row r="1832" spans="1:9">
      <c r="A1832" s="50">
        <v>45580</v>
      </c>
      <c r="B1832" s="51">
        <v>0.3271759259259259</v>
      </c>
      <c r="C1832" t="s">
        <v>145</v>
      </c>
      <c r="D1832" t="s">
        <v>42</v>
      </c>
      <c r="E1832" t="s">
        <v>47</v>
      </c>
      <c r="F1832" t="s">
        <v>159</v>
      </c>
      <c r="G1832">
        <v>-11980</v>
      </c>
      <c r="H1832" t="s">
        <v>147</v>
      </c>
      <c r="I1832" t="s">
        <v>148</v>
      </c>
    </row>
    <row r="1833" spans="1:9">
      <c r="A1833" s="50">
        <v>45580</v>
      </c>
      <c r="B1833" s="51">
        <v>0.04711805555555556</v>
      </c>
      <c r="C1833" t="s">
        <v>145</v>
      </c>
      <c r="D1833" t="s">
        <v>42</v>
      </c>
      <c r="E1833" t="s">
        <v>47</v>
      </c>
      <c r="F1833" t="s">
        <v>225</v>
      </c>
      <c r="G1833">
        <v>-1990</v>
      </c>
      <c r="H1833" t="s">
        <v>147</v>
      </c>
      <c r="I1833" t="s">
        <v>154</v>
      </c>
    </row>
    <row r="1834" spans="1:9">
      <c r="A1834" s="50">
        <v>45580</v>
      </c>
      <c r="B1834" s="51">
        <v>0.04711805555555556</v>
      </c>
      <c r="C1834" t="s">
        <v>151</v>
      </c>
      <c r="D1834" t="s">
        <v>160</v>
      </c>
      <c r="E1834" t="s">
        <v>47</v>
      </c>
      <c r="F1834" t="s">
        <v>163</v>
      </c>
      <c r="G1834">
        <v>-10000</v>
      </c>
      <c r="H1834" t="s">
        <v>147</v>
      </c>
      <c r="I1834" t="s">
        <v>57</v>
      </c>
    </row>
    <row r="1835" spans="1:9">
      <c r="A1835" s="50">
        <v>45580</v>
      </c>
      <c r="B1835" s="51">
        <v>0.04711805555555556</v>
      </c>
      <c r="C1835" t="s">
        <v>151</v>
      </c>
      <c r="D1835" t="s">
        <v>160</v>
      </c>
      <c r="E1835" t="s">
        <v>47</v>
      </c>
      <c r="F1835" t="s">
        <v>161</v>
      </c>
      <c r="G1835">
        <v>10000</v>
      </c>
      <c r="H1835" t="s">
        <v>147</v>
      </c>
      <c r="I1835" t="s">
        <v>162</v>
      </c>
    </row>
    <row r="1836" spans="1:9">
      <c r="A1836" s="50">
        <v>45579</v>
      </c>
      <c r="B1836" s="51">
        <v>0.8424189814814815</v>
      </c>
      <c r="C1836" t="s">
        <v>145</v>
      </c>
      <c r="D1836" t="s">
        <v>42</v>
      </c>
      <c r="E1836" t="s">
        <v>47</v>
      </c>
      <c r="F1836" t="s">
        <v>158</v>
      </c>
      <c r="G1836">
        <v>-50000</v>
      </c>
      <c r="H1836" t="s">
        <v>147</v>
      </c>
      <c r="I1836" t="s">
        <v>57</v>
      </c>
    </row>
    <row r="1837" spans="1:9">
      <c r="A1837" s="50">
        <v>45579</v>
      </c>
      <c r="B1837" s="51">
        <v>0.4398726851851852</v>
      </c>
      <c r="C1837" t="s">
        <v>151</v>
      </c>
      <c r="D1837" t="s">
        <v>160</v>
      </c>
      <c r="E1837" t="s">
        <v>47</v>
      </c>
      <c r="F1837" t="s">
        <v>7</v>
      </c>
      <c r="G1837">
        <v>200000</v>
      </c>
      <c r="H1837" t="s">
        <v>147</v>
      </c>
      <c r="I1837" t="s">
        <v>57</v>
      </c>
    </row>
    <row r="1838" spans="1:9">
      <c r="A1838" s="50">
        <v>45579</v>
      </c>
      <c r="B1838" s="51">
        <v>0.4398726851851852</v>
      </c>
      <c r="C1838" t="s">
        <v>151</v>
      </c>
      <c r="D1838" t="s">
        <v>160</v>
      </c>
      <c r="E1838" t="s">
        <v>47</v>
      </c>
      <c r="F1838" t="s">
        <v>7</v>
      </c>
      <c r="G1838">
        <v>-200000</v>
      </c>
      <c r="H1838" t="s">
        <v>147</v>
      </c>
      <c r="I1838" t="s">
        <v>61</v>
      </c>
    </row>
    <row r="1839" spans="1:9">
      <c r="A1839" s="50">
        <v>45579</v>
      </c>
      <c r="B1839" s="51">
        <v>0.4347569444444445</v>
      </c>
      <c r="C1839" t="s">
        <v>145</v>
      </c>
      <c r="D1839" t="s">
        <v>35</v>
      </c>
      <c r="E1839" t="s">
        <v>47</v>
      </c>
      <c r="F1839" t="s">
        <v>197</v>
      </c>
      <c r="G1839">
        <v>-100000</v>
      </c>
      <c r="H1839" t="s">
        <v>147</v>
      </c>
      <c r="I1839" t="s">
        <v>162</v>
      </c>
    </row>
    <row r="1840" spans="1:9">
      <c r="A1840" s="50">
        <v>45579</v>
      </c>
      <c r="B1840" s="51">
        <v>0.4347453703703704</v>
      </c>
      <c r="C1840" t="s">
        <v>151</v>
      </c>
      <c r="D1840" t="s">
        <v>160</v>
      </c>
      <c r="E1840" t="s">
        <v>47</v>
      </c>
      <c r="F1840" t="s">
        <v>163</v>
      </c>
      <c r="G1840">
        <v>-93786</v>
      </c>
      <c r="H1840" t="s">
        <v>147</v>
      </c>
      <c r="I1840" t="s">
        <v>57</v>
      </c>
    </row>
    <row r="1841" spans="1:9">
      <c r="A1841" s="50">
        <v>45579</v>
      </c>
      <c r="B1841" s="51">
        <v>0.4347337962962963</v>
      </c>
      <c r="C1841" t="s">
        <v>151</v>
      </c>
      <c r="D1841" t="s">
        <v>160</v>
      </c>
      <c r="E1841" t="s">
        <v>47</v>
      </c>
      <c r="F1841" t="s">
        <v>161</v>
      </c>
      <c r="G1841">
        <v>93786</v>
      </c>
      <c r="H1841" t="s">
        <v>147</v>
      </c>
      <c r="I1841" t="s">
        <v>162</v>
      </c>
    </row>
    <row r="1842" spans="1:9">
      <c r="A1842" s="50">
        <v>45579</v>
      </c>
      <c r="B1842" s="51">
        <v>0.1301967592592592</v>
      </c>
      <c r="C1842" t="s">
        <v>145</v>
      </c>
      <c r="D1842" t="s">
        <v>35</v>
      </c>
      <c r="E1842" t="s">
        <v>207</v>
      </c>
      <c r="F1842" t="s">
        <v>234</v>
      </c>
      <c r="G1842">
        <v>-148576</v>
      </c>
      <c r="H1842" t="s">
        <v>147</v>
      </c>
      <c r="I1842" t="s">
        <v>57</v>
      </c>
    </row>
    <row r="1843" spans="1:9">
      <c r="A1843" s="50">
        <v>45579</v>
      </c>
      <c r="B1843" s="51">
        <v>0.1282986111111111</v>
      </c>
      <c r="C1843" t="s">
        <v>151</v>
      </c>
      <c r="D1843" t="s">
        <v>151</v>
      </c>
      <c r="E1843" t="s">
        <v>47</v>
      </c>
      <c r="F1843" t="s">
        <v>234</v>
      </c>
      <c r="G1843">
        <v>-242134</v>
      </c>
      <c r="H1843" t="s">
        <v>147</v>
      </c>
      <c r="I1843" t="s">
        <v>61</v>
      </c>
    </row>
    <row r="1844" spans="1:9">
      <c r="A1844" s="50">
        <v>45578</v>
      </c>
      <c r="B1844" s="51">
        <v>0.6954050925925926</v>
      </c>
      <c r="C1844" t="s">
        <v>145</v>
      </c>
      <c r="D1844" t="s">
        <v>47</v>
      </c>
      <c r="E1844" t="s">
        <v>47</v>
      </c>
      <c r="F1844" t="s">
        <v>603</v>
      </c>
      <c r="G1844">
        <v>-5300</v>
      </c>
      <c r="H1844" t="s">
        <v>147</v>
      </c>
      <c r="I1844" t="s">
        <v>162</v>
      </c>
    </row>
    <row r="1845" spans="1:9">
      <c r="A1845" s="50">
        <v>45578</v>
      </c>
      <c r="B1845" s="51">
        <v>0.6953935185185185</v>
      </c>
      <c r="C1845" t="s">
        <v>151</v>
      </c>
      <c r="D1845" t="s">
        <v>160</v>
      </c>
      <c r="E1845" t="s">
        <v>47</v>
      </c>
      <c r="F1845" t="s">
        <v>163</v>
      </c>
      <c r="G1845">
        <v>-10000</v>
      </c>
      <c r="H1845" t="s">
        <v>147</v>
      </c>
      <c r="I1845" t="s">
        <v>57</v>
      </c>
    </row>
    <row r="1846" spans="1:9">
      <c r="A1846" s="50">
        <v>45578</v>
      </c>
      <c r="B1846" s="51">
        <v>0.6953935185185185</v>
      </c>
      <c r="C1846" t="s">
        <v>151</v>
      </c>
      <c r="D1846" t="s">
        <v>160</v>
      </c>
      <c r="E1846" t="s">
        <v>47</v>
      </c>
      <c r="F1846" t="s">
        <v>161</v>
      </c>
      <c r="G1846">
        <v>10000</v>
      </c>
      <c r="H1846" t="s">
        <v>147</v>
      </c>
      <c r="I1846" t="s">
        <v>162</v>
      </c>
    </row>
    <row r="1847" spans="1:9">
      <c r="A1847" s="50">
        <v>45578</v>
      </c>
      <c r="B1847" s="51">
        <v>0.6899884259259259</v>
      </c>
      <c r="C1847" t="s">
        <v>145</v>
      </c>
      <c r="D1847" t="s">
        <v>47</v>
      </c>
      <c r="E1847" t="s">
        <v>47</v>
      </c>
      <c r="F1847" t="s">
        <v>603</v>
      </c>
      <c r="G1847">
        <v>-5100</v>
      </c>
      <c r="H1847" t="s">
        <v>147</v>
      </c>
      <c r="I1847" t="s">
        <v>162</v>
      </c>
    </row>
    <row r="1848" spans="1:9">
      <c r="A1848" s="50">
        <v>45578</v>
      </c>
      <c r="B1848" s="51">
        <v>0.4505439814814815</v>
      </c>
      <c r="C1848" t="s">
        <v>145</v>
      </c>
      <c r="D1848" t="s">
        <v>42</v>
      </c>
      <c r="E1848" t="s">
        <v>47</v>
      </c>
      <c r="F1848" t="s">
        <v>216</v>
      </c>
      <c r="G1848">
        <v>-21000</v>
      </c>
      <c r="H1848" t="s">
        <v>147</v>
      </c>
      <c r="I1848" t="s">
        <v>148</v>
      </c>
    </row>
    <row r="1849" spans="1:9">
      <c r="A1849" s="50">
        <v>45577</v>
      </c>
      <c r="B1849" s="51">
        <v>0.9578356481481481</v>
      </c>
      <c r="C1849" t="s">
        <v>145</v>
      </c>
      <c r="D1849" t="s">
        <v>42</v>
      </c>
      <c r="E1849" t="s">
        <v>47</v>
      </c>
      <c r="F1849" t="s">
        <v>158</v>
      </c>
      <c r="G1849">
        <v>-30000</v>
      </c>
      <c r="H1849" t="s">
        <v>147</v>
      </c>
      <c r="I1849" t="s">
        <v>57</v>
      </c>
    </row>
    <row r="1850" spans="1:9">
      <c r="A1850" s="50">
        <v>45577</v>
      </c>
      <c r="B1850" s="51">
        <v>0.9465393518518519</v>
      </c>
      <c r="C1850" t="s">
        <v>145</v>
      </c>
      <c r="D1850" t="s">
        <v>47</v>
      </c>
      <c r="E1850" t="s">
        <v>47</v>
      </c>
      <c r="F1850" t="s">
        <v>603</v>
      </c>
      <c r="G1850">
        <v>-3400</v>
      </c>
      <c r="H1850" t="s">
        <v>147</v>
      </c>
      <c r="I1850" t="s">
        <v>162</v>
      </c>
    </row>
    <row r="1851" spans="1:9">
      <c r="A1851" s="50">
        <v>45577</v>
      </c>
      <c r="B1851" s="51">
        <v>0.9465277777777777</v>
      </c>
      <c r="C1851" t="s">
        <v>151</v>
      </c>
      <c r="D1851" t="s">
        <v>160</v>
      </c>
      <c r="E1851" t="s">
        <v>47</v>
      </c>
      <c r="F1851" t="s">
        <v>163</v>
      </c>
      <c r="G1851">
        <v>-10000</v>
      </c>
      <c r="H1851" t="s">
        <v>147</v>
      </c>
      <c r="I1851" t="s">
        <v>57</v>
      </c>
    </row>
    <row r="1852" spans="1:9">
      <c r="A1852" s="50">
        <v>45577</v>
      </c>
      <c r="B1852" s="51">
        <v>0.9465277777777777</v>
      </c>
      <c r="C1852" t="s">
        <v>151</v>
      </c>
      <c r="D1852" t="s">
        <v>160</v>
      </c>
      <c r="E1852" t="s">
        <v>47</v>
      </c>
      <c r="F1852" t="s">
        <v>161</v>
      </c>
      <c r="G1852">
        <v>10000</v>
      </c>
      <c r="H1852" t="s">
        <v>147</v>
      </c>
      <c r="I1852" t="s">
        <v>162</v>
      </c>
    </row>
    <row r="1853" spans="1:9">
      <c r="A1853" s="50">
        <v>45577</v>
      </c>
      <c r="B1853" s="51">
        <v>0.6593402777777778</v>
      </c>
      <c r="C1853" t="s">
        <v>151</v>
      </c>
      <c r="D1853" t="s">
        <v>160</v>
      </c>
      <c r="E1853" t="s">
        <v>47</v>
      </c>
      <c r="F1853" t="s">
        <v>163</v>
      </c>
      <c r="G1853">
        <v>-12000</v>
      </c>
      <c r="H1853" t="s">
        <v>147</v>
      </c>
      <c r="I1853" t="s">
        <v>57</v>
      </c>
    </row>
    <row r="1854" spans="1:9">
      <c r="A1854" s="50">
        <v>45577</v>
      </c>
      <c r="B1854" s="51">
        <v>0.6593402777777778</v>
      </c>
      <c r="C1854" t="s">
        <v>151</v>
      </c>
      <c r="D1854" t="s">
        <v>160</v>
      </c>
      <c r="E1854" t="s">
        <v>47</v>
      </c>
      <c r="F1854" t="s">
        <v>161</v>
      </c>
      <c r="G1854">
        <v>12000</v>
      </c>
      <c r="H1854" t="s">
        <v>147</v>
      </c>
      <c r="I1854" t="s">
        <v>162</v>
      </c>
    </row>
    <row r="1855" spans="1:9">
      <c r="A1855" s="50">
        <v>45577</v>
      </c>
      <c r="B1855" s="51">
        <v>0.6593402777777778</v>
      </c>
      <c r="C1855" t="s">
        <v>145</v>
      </c>
      <c r="D1855" t="s">
        <v>47</v>
      </c>
      <c r="E1855" t="s">
        <v>47</v>
      </c>
      <c r="F1855" t="s">
        <v>603</v>
      </c>
      <c r="G1855">
        <v>-17000</v>
      </c>
      <c r="H1855" t="s">
        <v>147</v>
      </c>
      <c r="I1855" t="s">
        <v>162</v>
      </c>
    </row>
    <row r="1856" spans="1:9">
      <c r="A1856" s="50">
        <v>45577</v>
      </c>
      <c r="B1856" s="51">
        <v>0.5662037037037037</v>
      </c>
      <c r="C1856" t="s">
        <v>151</v>
      </c>
      <c r="D1856" t="s">
        <v>160</v>
      </c>
      <c r="E1856" t="s">
        <v>47</v>
      </c>
      <c r="F1856" t="s">
        <v>7</v>
      </c>
      <c r="G1856">
        <v>-200000</v>
      </c>
      <c r="H1856" t="s">
        <v>147</v>
      </c>
      <c r="I1856" t="s">
        <v>57</v>
      </c>
    </row>
    <row r="1857" spans="1:9">
      <c r="A1857" s="50">
        <v>45577</v>
      </c>
      <c r="B1857" s="51">
        <v>0.5662037037037037</v>
      </c>
      <c r="C1857" t="s">
        <v>151</v>
      </c>
      <c r="D1857" t="s">
        <v>160</v>
      </c>
      <c r="E1857" t="s">
        <v>47</v>
      </c>
      <c r="F1857" t="s">
        <v>7</v>
      </c>
      <c r="G1857">
        <v>200000</v>
      </c>
      <c r="H1857" t="s">
        <v>147</v>
      </c>
      <c r="I1857" t="s">
        <v>61</v>
      </c>
    </row>
    <row r="1858" spans="1:9">
      <c r="A1858" s="50">
        <v>45577</v>
      </c>
      <c r="B1858" s="51">
        <v>0.5641203703703703</v>
      </c>
      <c r="C1858" t="s">
        <v>151</v>
      </c>
      <c r="D1858" t="s">
        <v>151</v>
      </c>
      <c r="E1858" t="s">
        <v>47</v>
      </c>
      <c r="F1858" t="s">
        <v>505</v>
      </c>
      <c r="G1858">
        <v>-2124000</v>
      </c>
      <c r="H1858" t="s">
        <v>147</v>
      </c>
      <c r="I1858" t="s">
        <v>61</v>
      </c>
    </row>
    <row r="1859" spans="1:9">
      <c r="A1859" s="50">
        <v>45577</v>
      </c>
      <c r="B1859" s="51">
        <v>0.4782523148148148</v>
      </c>
      <c r="C1859" t="s">
        <v>151</v>
      </c>
      <c r="D1859" t="s">
        <v>160</v>
      </c>
      <c r="E1859" t="s">
        <v>47</v>
      </c>
      <c r="F1859" t="s">
        <v>163</v>
      </c>
      <c r="G1859">
        <v>-10000</v>
      </c>
      <c r="H1859" t="s">
        <v>147</v>
      </c>
      <c r="I1859" t="s">
        <v>57</v>
      </c>
    </row>
    <row r="1860" spans="1:9">
      <c r="A1860" s="50">
        <v>45577</v>
      </c>
      <c r="B1860" s="51">
        <v>0.4782407407407407</v>
      </c>
      <c r="C1860" t="s">
        <v>151</v>
      </c>
      <c r="D1860" t="s">
        <v>160</v>
      </c>
      <c r="E1860" t="s">
        <v>47</v>
      </c>
      <c r="F1860" t="s">
        <v>161</v>
      </c>
      <c r="G1860">
        <v>10000</v>
      </c>
      <c r="H1860" t="s">
        <v>147</v>
      </c>
      <c r="I1860" t="s">
        <v>162</v>
      </c>
    </row>
    <row r="1861" spans="1:9">
      <c r="A1861" s="50">
        <v>45577</v>
      </c>
      <c r="B1861" s="51">
        <v>0.4173726851851852</v>
      </c>
      <c r="C1861" t="s">
        <v>145</v>
      </c>
      <c r="D1861" t="s">
        <v>47</v>
      </c>
      <c r="E1861" t="s">
        <v>47</v>
      </c>
      <c r="F1861" t="s">
        <v>603</v>
      </c>
      <c r="G1861">
        <v>-25290</v>
      </c>
      <c r="H1861" t="s">
        <v>147</v>
      </c>
      <c r="I1861" t="s">
        <v>162</v>
      </c>
    </row>
    <row r="1862" spans="1:9">
      <c r="A1862" s="50">
        <v>45577</v>
      </c>
      <c r="B1862" s="51">
        <v>0.4173611111111111</v>
      </c>
      <c r="C1862" t="s">
        <v>151</v>
      </c>
      <c r="D1862" t="s">
        <v>160</v>
      </c>
      <c r="E1862" t="s">
        <v>47</v>
      </c>
      <c r="F1862" t="s">
        <v>163</v>
      </c>
      <c r="G1862">
        <v>-21180</v>
      </c>
      <c r="H1862" t="s">
        <v>147</v>
      </c>
      <c r="I1862" t="s">
        <v>57</v>
      </c>
    </row>
    <row r="1863" spans="1:9">
      <c r="A1863" s="50">
        <v>45577</v>
      </c>
      <c r="B1863" s="51">
        <v>0.4173611111111111</v>
      </c>
      <c r="C1863" t="s">
        <v>151</v>
      </c>
      <c r="D1863" t="s">
        <v>160</v>
      </c>
      <c r="E1863" t="s">
        <v>47</v>
      </c>
      <c r="F1863" t="s">
        <v>161</v>
      </c>
      <c r="G1863">
        <v>21180</v>
      </c>
      <c r="H1863" t="s">
        <v>147</v>
      </c>
      <c r="I1863" t="s">
        <v>162</v>
      </c>
    </row>
    <row r="1864" spans="1:9">
      <c r="A1864" s="50">
        <v>45576</v>
      </c>
      <c r="B1864" s="51">
        <v>0.9592824074074074</v>
      </c>
      <c r="C1864" t="s">
        <v>145</v>
      </c>
      <c r="D1864" t="s">
        <v>47</v>
      </c>
      <c r="E1864" t="s">
        <v>47</v>
      </c>
      <c r="F1864" t="s">
        <v>603</v>
      </c>
      <c r="G1864">
        <v>-5890</v>
      </c>
      <c r="H1864" t="s">
        <v>147</v>
      </c>
      <c r="I1864" t="s">
        <v>162</v>
      </c>
    </row>
    <row r="1865" spans="1:9">
      <c r="A1865" s="50">
        <v>45576</v>
      </c>
      <c r="B1865" s="51">
        <v>0.9592708333333333</v>
      </c>
      <c r="C1865" t="s">
        <v>151</v>
      </c>
      <c r="D1865" t="s">
        <v>160</v>
      </c>
      <c r="E1865" t="s">
        <v>47</v>
      </c>
      <c r="F1865" t="s">
        <v>163</v>
      </c>
      <c r="G1865">
        <v>-10000</v>
      </c>
      <c r="H1865" t="s">
        <v>147</v>
      </c>
      <c r="I1865" t="s">
        <v>57</v>
      </c>
    </row>
    <row r="1866" spans="1:9">
      <c r="A1866" s="50">
        <v>45576</v>
      </c>
      <c r="B1866" s="51">
        <v>0.9592708333333333</v>
      </c>
      <c r="C1866" t="s">
        <v>151</v>
      </c>
      <c r="D1866" t="s">
        <v>160</v>
      </c>
      <c r="E1866" t="s">
        <v>47</v>
      </c>
      <c r="F1866" t="s">
        <v>161</v>
      </c>
      <c r="G1866">
        <v>10000</v>
      </c>
      <c r="H1866" t="s">
        <v>147</v>
      </c>
      <c r="I1866" t="s">
        <v>162</v>
      </c>
    </row>
    <row r="1867" spans="1:9">
      <c r="A1867" s="50">
        <v>45576</v>
      </c>
      <c r="B1867" s="51">
        <v>0.9558333333333333</v>
      </c>
      <c r="C1867" t="s">
        <v>145</v>
      </c>
      <c r="D1867" t="s">
        <v>47</v>
      </c>
      <c r="E1867" t="s">
        <v>47</v>
      </c>
      <c r="F1867" t="s">
        <v>603</v>
      </c>
      <c r="G1867">
        <v>-58000</v>
      </c>
      <c r="H1867" t="s">
        <v>147</v>
      </c>
      <c r="I1867" t="s">
        <v>162</v>
      </c>
    </row>
    <row r="1868" spans="1:9">
      <c r="A1868" s="50">
        <v>45576</v>
      </c>
      <c r="B1868" s="51">
        <v>0.9558217592592593</v>
      </c>
      <c r="C1868" t="s">
        <v>151</v>
      </c>
      <c r="D1868" t="s">
        <v>160</v>
      </c>
      <c r="E1868" t="s">
        <v>47</v>
      </c>
      <c r="F1868" t="s">
        <v>163</v>
      </c>
      <c r="G1868">
        <v>-40250</v>
      </c>
      <c r="H1868" t="s">
        <v>147</v>
      </c>
      <c r="I1868" t="s">
        <v>57</v>
      </c>
    </row>
    <row r="1869" spans="1:9">
      <c r="A1869" s="50">
        <v>45576</v>
      </c>
      <c r="B1869" s="51">
        <v>0.9558217592592593</v>
      </c>
      <c r="C1869" t="s">
        <v>151</v>
      </c>
      <c r="D1869" t="s">
        <v>160</v>
      </c>
      <c r="E1869" t="s">
        <v>47</v>
      </c>
      <c r="F1869" t="s">
        <v>161</v>
      </c>
      <c r="G1869">
        <v>40250</v>
      </c>
      <c r="H1869" t="s">
        <v>147</v>
      </c>
      <c r="I1869" t="s">
        <v>162</v>
      </c>
    </row>
    <row r="1870" spans="1:9">
      <c r="A1870" s="50">
        <v>45576</v>
      </c>
      <c r="B1870" s="51">
        <v>0.7448958333333333</v>
      </c>
      <c r="C1870" t="s">
        <v>145</v>
      </c>
      <c r="D1870" t="s">
        <v>47</v>
      </c>
      <c r="E1870" t="s">
        <v>47</v>
      </c>
      <c r="F1870" t="s">
        <v>603</v>
      </c>
      <c r="G1870">
        <v>-19800</v>
      </c>
      <c r="H1870" t="s">
        <v>147</v>
      </c>
      <c r="I1870" t="s">
        <v>162</v>
      </c>
    </row>
    <row r="1871" spans="1:9">
      <c r="A1871" s="50">
        <v>45576</v>
      </c>
      <c r="B1871" s="51">
        <v>0.6247337962962963</v>
      </c>
      <c r="C1871" t="s">
        <v>145</v>
      </c>
      <c r="D1871" t="s">
        <v>38</v>
      </c>
      <c r="E1871" t="s">
        <v>47</v>
      </c>
      <c r="F1871" t="s">
        <v>489</v>
      </c>
      <c r="G1871">
        <v>-16700</v>
      </c>
      <c r="H1871" t="s">
        <v>147</v>
      </c>
      <c r="I1871" t="s">
        <v>148</v>
      </c>
    </row>
    <row r="1872" spans="1:9">
      <c r="A1872" s="50">
        <v>45576</v>
      </c>
      <c r="B1872" s="51">
        <v>0.5639120370370371</v>
      </c>
      <c r="C1872" t="s">
        <v>145</v>
      </c>
      <c r="D1872" t="s">
        <v>34</v>
      </c>
      <c r="E1872" t="s">
        <v>47</v>
      </c>
      <c r="F1872" t="s">
        <v>588</v>
      </c>
      <c r="G1872">
        <v>-52200</v>
      </c>
      <c r="H1872" t="s">
        <v>147</v>
      </c>
      <c r="I1872" t="s">
        <v>148</v>
      </c>
    </row>
    <row r="1873" spans="1:9">
      <c r="A1873" s="50">
        <v>45576</v>
      </c>
      <c r="B1873" s="51">
        <v>0.5638310185185185</v>
      </c>
      <c r="C1873" t="s">
        <v>145</v>
      </c>
      <c r="D1873" t="s">
        <v>34</v>
      </c>
      <c r="E1873" t="s">
        <v>47</v>
      </c>
      <c r="F1873" t="s">
        <v>588</v>
      </c>
      <c r="G1873">
        <v>-51700</v>
      </c>
      <c r="H1873" t="s">
        <v>147</v>
      </c>
      <c r="I1873" t="s">
        <v>148</v>
      </c>
    </row>
    <row r="1874" spans="1:9">
      <c r="A1874" s="50">
        <v>45576</v>
      </c>
      <c r="B1874" s="51">
        <v>0.386099537037037</v>
      </c>
      <c r="C1874" t="s">
        <v>151</v>
      </c>
      <c r="D1874" t="s">
        <v>160</v>
      </c>
      <c r="E1874" t="s">
        <v>47</v>
      </c>
      <c r="F1874" t="s">
        <v>7</v>
      </c>
      <c r="G1874">
        <v>-1000000</v>
      </c>
      <c r="H1874" t="s">
        <v>147</v>
      </c>
      <c r="I1874" t="s">
        <v>57</v>
      </c>
    </row>
    <row r="1875" spans="1:9">
      <c r="A1875" s="50">
        <v>45576</v>
      </c>
      <c r="B1875" s="51">
        <v>0.386099537037037</v>
      </c>
      <c r="C1875" t="s">
        <v>151</v>
      </c>
      <c r="D1875" t="s">
        <v>160</v>
      </c>
      <c r="E1875" t="s">
        <v>47</v>
      </c>
      <c r="F1875" t="s">
        <v>7</v>
      </c>
      <c r="G1875">
        <v>1000000</v>
      </c>
      <c r="H1875" t="s">
        <v>147</v>
      </c>
      <c r="I1875" t="s">
        <v>61</v>
      </c>
    </row>
    <row r="1876" spans="1:9">
      <c r="A1876" s="50">
        <v>45576</v>
      </c>
      <c r="B1876" s="51">
        <v>0.3783101851851852</v>
      </c>
      <c r="C1876" t="s">
        <v>151</v>
      </c>
      <c r="D1876" t="s">
        <v>160</v>
      </c>
      <c r="E1876" t="s">
        <v>47</v>
      </c>
      <c r="F1876" t="s">
        <v>7</v>
      </c>
      <c r="G1876">
        <v>-100000</v>
      </c>
      <c r="H1876" t="s">
        <v>147</v>
      </c>
      <c r="I1876" t="s">
        <v>57</v>
      </c>
    </row>
    <row r="1877" spans="1:9">
      <c r="A1877" s="50">
        <v>45576</v>
      </c>
      <c r="B1877" s="51">
        <v>0.378125</v>
      </c>
      <c r="C1877" t="s">
        <v>145</v>
      </c>
      <c r="D1877" t="s">
        <v>42</v>
      </c>
      <c r="E1877" t="s">
        <v>47</v>
      </c>
      <c r="F1877" t="s">
        <v>229</v>
      </c>
      <c r="G1877">
        <v>-100000</v>
      </c>
      <c r="H1877" t="s">
        <v>147</v>
      </c>
      <c r="I1877" t="s">
        <v>57</v>
      </c>
    </row>
    <row r="1878" spans="1:9">
      <c r="A1878" s="50">
        <v>45576</v>
      </c>
      <c r="B1878" s="51">
        <v>0.3626967592592593</v>
      </c>
      <c r="C1878" t="s">
        <v>151</v>
      </c>
      <c r="D1878" t="s">
        <v>198</v>
      </c>
      <c r="E1878" t="s">
        <v>47</v>
      </c>
      <c r="F1878" t="s">
        <v>213</v>
      </c>
      <c r="G1878">
        <v>1893930</v>
      </c>
      <c r="H1878" t="s">
        <v>147</v>
      </c>
      <c r="I1878" t="s">
        <v>57</v>
      </c>
    </row>
    <row r="1879" spans="1:9">
      <c r="A1879" s="50">
        <v>45575</v>
      </c>
      <c r="B1879" s="51">
        <v>0.7936458333333334</v>
      </c>
      <c r="C1879" t="s">
        <v>145</v>
      </c>
      <c r="D1879" t="s">
        <v>42</v>
      </c>
      <c r="E1879" t="s">
        <v>47</v>
      </c>
      <c r="F1879" t="s">
        <v>158</v>
      </c>
      <c r="G1879">
        <v>-50000</v>
      </c>
      <c r="H1879" t="s">
        <v>147</v>
      </c>
      <c r="I1879" t="s">
        <v>57</v>
      </c>
    </row>
    <row r="1880" spans="1:9">
      <c r="A1880" s="50">
        <v>45574</v>
      </c>
      <c r="B1880" s="51">
        <v>0.8921643518518518</v>
      </c>
      <c r="C1880" t="s">
        <v>151</v>
      </c>
      <c r="D1880" t="s">
        <v>151</v>
      </c>
      <c r="E1880" t="s">
        <v>47</v>
      </c>
      <c r="F1880" t="s">
        <v>604</v>
      </c>
      <c r="G1880">
        <v>37550</v>
      </c>
      <c r="H1880" t="s">
        <v>147</v>
      </c>
      <c r="I1880" t="s">
        <v>162</v>
      </c>
    </row>
    <row r="1881" spans="1:9">
      <c r="A1881" s="50">
        <v>45574</v>
      </c>
      <c r="B1881" s="51">
        <v>0.8722453703703704</v>
      </c>
      <c r="C1881" t="s">
        <v>151</v>
      </c>
      <c r="D1881" t="s">
        <v>151</v>
      </c>
      <c r="E1881" t="s">
        <v>47</v>
      </c>
      <c r="F1881" t="s">
        <v>392</v>
      </c>
      <c r="G1881">
        <v>-80000</v>
      </c>
      <c r="H1881" t="s">
        <v>147</v>
      </c>
      <c r="I1881" t="s">
        <v>57</v>
      </c>
    </row>
    <row r="1882" spans="1:9">
      <c r="A1882" s="50">
        <v>45574</v>
      </c>
      <c r="B1882" s="51">
        <v>0.8718287037037037</v>
      </c>
      <c r="C1882" t="s">
        <v>151</v>
      </c>
      <c r="D1882" t="s">
        <v>160</v>
      </c>
      <c r="E1882" t="s">
        <v>47</v>
      </c>
      <c r="F1882" t="s">
        <v>7</v>
      </c>
      <c r="G1882">
        <v>100000</v>
      </c>
      <c r="H1882" t="s">
        <v>147</v>
      </c>
      <c r="I1882" t="s">
        <v>57</v>
      </c>
    </row>
    <row r="1883" spans="1:9">
      <c r="A1883" s="50">
        <v>45574</v>
      </c>
      <c r="B1883" s="51">
        <v>0.8572569444444444</v>
      </c>
      <c r="C1883" t="s">
        <v>145</v>
      </c>
      <c r="D1883" t="s">
        <v>42</v>
      </c>
      <c r="E1883" t="s">
        <v>47</v>
      </c>
      <c r="F1883" t="s">
        <v>153</v>
      </c>
      <c r="G1883">
        <v>-25900</v>
      </c>
      <c r="H1883" t="s">
        <v>147</v>
      </c>
      <c r="I1883" t="s">
        <v>154</v>
      </c>
    </row>
    <row r="1884" spans="1:9">
      <c r="A1884" s="50">
        <v>45574</v>
      </c>
      <c r="B1884" s="51">
        <v>0.8572569444444444</v>
      </c>
      <c r="C1884" t="s">
        <v>151</v>
      </c>
      <c r="D1884" t="s">
        <v>160</v>
      </c>
      <c r="E1884" t="s">
        <v>47</v>
      </c>
      <c r="F1884" t="s">
        <v>163</v>
      </c>
      <c r="G1884">
        <v>-19650</v>
      </c>
      <c r="H1884" t="s">
        <v>147</v>
      </c>
      <c r="I1884" t="s">
        <v>57</v>
      </c>
    </row>
    <row r="1885" spans="1:9">
      <c r="A1885" s="50">
        <v>45574</v>
      </c>
      <c r="B1885" s="51">
        <v>0.8572569444444444</v>
      </c>
      <c r="C1885" t="s">
        <v>151</v>
      </c>
      <c r="D1885" t="s">
        <v>160</v>
      </c>
      <c r="E1885" t="s">
        <v>47</v>
      </c>
      <c r="F1885" t="s">
        <v>161</v>
      </c>
      <c r="G1885">
        <v>19650</v>
      </c>
      <c r="H1885" t="s">
        <v>147</v>
      </c>
      <c r="I1885" t="s">
        <v>162</v>
      </c>
    </row>
    <row r="1886" spans="1:9">
      <c r="A1886" s="50">
        <v>45573</v>
      </c>
      <c r="B1886" s="51">
        <v>0.8303819444444445</v>
      </c>
      <c r="C1886" t="s">
        <v>145</v>
      </c>
      <c r="D1886" t="s">
        <v>36</v>
      </c>
      <c r="E1886" t="s">
        <v>47</v>
      </c>
      <c r="F1886" t="s">
        <v>559</v>
      </c>
      <c r="G1886">
        <v>-10000</v>
      </c>
      <c r="H1886" t="s">
        <v>147</v>
      </c>
      <c r="I1886" t="s">
        <v>154</v>
      </c>
    </row>
    <row r="1887" spans="1:9">
      <c r="A1887" s="50">
        <v>45572</v>
      </c>
      <c r="B1887" s="51">
        <v>0.8370717592592593</v>
      </c>
      <c r="C1887" t="s">
        <v>145</v>
      </c>
      <c r="D1887" t="s">
        <v>47</v>
      </c>
      <c r="E1887" t="s">
        <v>47</v>
      </c>
      <c r="F1887" t="s">
        <v>603</v>
      </c>
      <c r="G1887">
        <v>-11000</v>
      </c>
      <c r="H1887" t="s">
        <v>147</v>
      </c>
      <c r="I1887" t="s">
        <v>162</v>
      </c>
    </row>
    <row r="1888" spans="1:9">
      <c r="A1888" s="50">
        <v>45572</v>
      </c>
      <c r="B1888" s="51">
        <v>0.8370601851851852</v>
      </c>
      <c r="C1888" t="s">
        <v>151</v>
      </c>
      <c r="D1888" t="s">
        <v>160</v>
      </c>
      <c r="E1888" t="s">
        <v>47</v>
      </c>
      <c r="F1888" t="s">
        <v>163</v>
      </c>
      <c r="G1888">
        <v>-10000</v>
      </c>
      <c r="H1888" t="s">
        <v>147</v>
      </c>
      <c r="I1888" t="s">
        <v>57</v>
      </c>
    </row>
    <row r="1889" spans="1:9">
      <c r="A1889" s="50">
        <v>45572</v>
      </c>
      <c r="B1889" s="51">
        <v>0.8370601851851852</v>
      </c>
      <c r="C1889" t="s">
        <v>151</v>
      </c>
      <c r="D1889" t="s">
        <v>160</v>
      </c>
      <c r="E1889" t="s">
        <v>47</v>
      </c>
      <c r="F1889" t="s">
        <v>161</v>
      </c>
      <c r="G1889">
        <v>10000</v>
      </c>
      <c r="H1889" t="s">
        <v>147</v>
      </c>
      <c r="I1889" t="s">
        <v>162</v>
      </c>
    </row>
    <row r="1890" spans="1:9">
      <c r="A1890" s="50">
        <v>45572</v>
      </c>
      <c r="B1890" s="51">
        <v>0.8326273148148148</v>
      </c>
      <c r="C1890" t="s">
        <v>151</v>
      </c>
      <c r="D1890" t="s">
        <v>151</v>
      </c>
      <c r="E1890" t="s">
        <v>47</v>
      </c>
      <c r="F1890" t="s">
        <v>163</v>
      </c>
      <c r="G1890">
        <v>-10000</v>
      </c>
      <c r="H1890" t="s">
        <v>147</v>
      </c>
      <c r="I1890" t="s">
        <v>57</v>
      </c>
    </row>
    <row r="1891" spans="1:9">
      <c r="A1891" s="50">
        <v>45572</v>
      </c>
      <c r="B1891" s="51">
        <v>0.8326273148148148</v>
      </c>
      <c r="C1891" t="s">
        <v>145</v>
      </c>
      <c r="D1891" t="s">
        <v>47</v>
      </c>
      <c r="E1891" t="s">
        <v>47</v>
      </c>
      <c r="F1891" t="s">
        <v>603</v>
      </c>
      <c r="G1891">
        <v>-3750</v>
      </c>
      <c r="H1891" t="s">
        <v>147</v>
      </c>
      <c r="I1891" t="s">
        <v>162</v>
      </c>
    </row>
    <row r="1892" spans="1:9">
      <c r="A1892" s="50">
        <v>45572</v>
      </c>
      <c r="B1892" s="51">
        <v>0.8326157407407407</v>
      </c>
      <c r="C1892" t="s">
        <v>151</v>
      </c>
      <c r="D1892" t="s">
        <v>160</v>
      </c>
      <c r="E1892" t="s">
        <v>47</v>
      </c>
      <c r="F1892" t="s">
        <v>161</v>
      </c>
      <c r="G1892">
        <v>10000</v>
      </c>
      <c r="H1892" t="s">
        <v>147</v>
      </c>
      <c r="I1892" t="s">
        <v>162</v>
      </c>
    </row>
    <row r="1893" spans="1:9">
      <c r="A1893" s="50">
        <v>45572</v>
      </c>
      <c r="B1893" s="51">
        <v>0.7635879629629629</v>
      </c>
      <c r="C1893" t="s">
        <v>145</v>
      </c>
      <c r="D1893" t="s">
        <v>41</v>
      </c>
      <c r="E1893" t="s">
        <v>47</v>
      </c>
      <c r="F1893" t="s">
        <v>157</v>
      </c>
      <c r="G1893">
        <v>-16400</v>
      </c>
      <c r="H1893" t="s">
        <v>147</v>
      </c>
      <c r="I1893" t="s">
        <v>57</v>
      </c>
    </row>
    <row r="1894" spans="1:9">
      <c r="A1894" s="50">
        <v>45572</v>
      </c>
      <c r="B1894" s="51">
        <v>0.5061921296296297</v>
      </c>
      <c r="C1894" t="s">
        <v>145</v>
      </c>
      <c r="D1894" t="s">
        <v>36</v>
      </c>
      <c r="E1894" t="s">
        <v>47</v>
      </c>
      <c r="F1894" t="s">
        <v>605</v>
      </c>
      <c r="G1894">
        <v>-10000</v>
      </c>
      <c r="H1894" t="s">
        <v>147</v>
      </c>
      <c r="I1894" t="s">
        <v>154</v>
      </c>
    </row>
    <row r="1895" spans="1:9">
      <c r="A1895" s="50">
        <v>45571</v>
      </c>
      <c r="B1895" s="51">
        <v>0.9748148148148148</v>
      </c>
      <c r="C1895" t="s">
        <v>145</v>
      </c>
      <c r="D1895" t="s">
        <v>42</v>
      </c>
      <c r="E1895" t="s">
        <v>47</v>
      </c>
      <c r="F1895" t="s">
        <v>253</v>
      </c>
      <c r="G1895">
        <v>-29000</v>
      </c>
      <c r="H1895" t="s">
        <v>147</v>
      </c>
      <c r="I1895" t="s">
        <v>148</v>
      </c>
    </row>
    <row r="1896" spans="1:9">
      <c r="A1896" s="50">
        <v>45571</v>
      </c>
      <c r="B1896" s="51">
        <v>0.8955208333333333</v>
      </c>
      <c r="C1896" t="s">
        <v>145</v>
      </c>
      <c r="D1896" t="s">
        <v>36</v>
      </c>
      <c r="E1896" t="s">
        <v>47</v>
      </c>
      <c r="F1896" t="s">
        <v>559</v>
      </c>
      <c r="G1896">
        <v>-2000</v>
      </c>
      <c r="H1896" t="s">
        <v>147</v>
      </c>
      <c r="I1896" t="s">
        <v>154</v>
      </c>
    </row>
    <row r="1897" spans="1:9">
      <c r="A1897" s="50">
        <v>45571</v>
      </c>
      <c r="B1897" s="51">
        <v>0.8428819444444444</v>
      </c>
      <c r="C1897" t="s">
        <v>145</v>
      </c>
      <c r="D1897" t="s">
        <v>36</v>
      </c>
      <c r="E1897" t="s">
        <v>47</v>
      </c>
      <c r="F1897" t="s">
        <v>559</v>
      </c>
      <c r="G1897">
        <v>-2000</v>
      </c>
      <c r="H1897" t="s">
        <v>147</v>
      </c>
      <c r="I1897" t="s">
        <v>154</v>
      </c>
    </row>
    <row r="1898" spans="1:9">
      <c r="A1898" s="50">
        <v>45571</v>
      </c>
      <c r="B1898" s="51">
        <v>0.7744907407407408</v>
      </c>
      <c r="C1898" t="s">
        <v>145</v>
      </c>
      <c r="D1898" t="s">
        <v>36</v>
      </c>
      <c r="E1898" t="s">
        <v>47</v>
      </c>
      <c r="F1898" t="s">
        <v>605</v>
      </c>
      <c r="G1898">
        <v>-10000</v>
      </c>
      <c r="H1898" t="s">
        <v>147</v>
      </c>
      <c r="I1898" t="s">
        <v>154</v>
      </c>
    </row>
    <row r="1899" spans="1:9">
      <c r="A1899" s="50">
        <v>45571</v>
      </c>
      <c r="B1899" s="51">
        <v>0.6839583333333333</v>
      </c>
      <c r="C1899" t="s">
        <v>145</v>
      </c>
      <c r="D1899" t="s">
        <v>36</v>
      </c>
      <c r="E1899" t="s">
        <v>47</v>
      </c>
      <c r="F1899" t="s">
        <v>559</v>
      </c>
      <c r="G1899">
        <v>-5000</v>
      </c>
      <c r="H1899" t="s">
        <v>147</v>
      </c>
      <c r="I1899" t="s">
        <v>154</v>
      </c>
    </row>
    <row r="1900" spans="1:9">
      <c r="A1900" s="50">
        <v>45571</v>
      </c>
      <c r="B1900" s="51">
        <v>0.6839583333333333</v>
      </c>
      <c r="C1900" t="s">
        <v>151</v>
      </c>
      <c r="D1900" t="s">
        <v>160</v>
      </c>
      <c r="E1900" t="s">
        <v>47</v>
      </c>
      <c r="F1900" t="s">
        <v>163</v>
      </c>
      <c r="G1900">
        <v>-10000</v>
      </c>
      <c r="H1900" t="s">
        <v>147</v>
      </c>
      <c r="I1900" t="s">
        <v>57</v>
      </c>
    </row>
    <row r="1901" spans="1:9">
      <c r="A1901" s="50">
        <v>45571</v>
      </c>
      <c r="B1901" s="51">
        <v>0.6839583333333333</v>
      </c>
      <c r="C1901" t="s">
        <v>151</v>
      </c>
      <c r="D1901" t="s">
        <v>160</v>
      </c>
      <c r="E1901" t="s">
        <v>47</v>
      </c>
      <c r="F1901" t="s">
        <v>161</v>
      </c>
      <c r="G1901">
        <v>10000</v>
      </c>
      <c r="H1901" t="s">
        <v>147</v>
      </c>
      <c r="I1901" t="s">
        <v>162</v>
      </c>
    </row>
    <row r="1902" spans="1:9">
      <c r="A1902" s="50">
        <v>45570</v>
      </c>
      <c r="B1902" s="51">
        <v>0.8204976851851852</v>
      </c>
      <c r="C1902" t="s">
        <v>145</v>
      </c>
      <c r="D1902" t="s">
        <v>47</v>
      </c>
      <c r="E1902" t="s">
        <v>47</v>
      </c>
      <c r="F1902" t="s">
        <v>603</v>
      </c>
      <c r="G1902">
        <v>-20900</v>
      </c>
      <c r="H1902" t="s">
        <v>147</v>
      </c>
      <c r="I1902" t="s">
        <v>162</v>
      </c>
    </row>
    <row r="1903" spans="1:9">
      <c r="A1903" s="50">
        <v>45570</v>
      </c>
      <c r="B1903" s="51">
        <v>0.8204861111111111</v>
      </c>
      <c r="C1903" t="s">
        <v>151</v>
      </c>
      <c r="D1903" t="s">
        <v>160</v>
      </c>
      <c r="E1903" t="s">
        <v>47</v>
      </c>
      <c r="F1903" t="s">
        <v>163</v>
      </c>
      <c r="G1903">
        <v>-14600</v>
      </c>
      <c r="H1903" t="s">
        <v>147</v>
      </c>
      <c r="I1903" t="s">
        <v>57</v>
      </c>
    </row>
    <row r="1904" spans="1:9">
      <c r="A1904" s="50">
        <v>45570</v>
      </c>
      <c r="B1904" s="51">
        <v>0.8204861111111111</v>
      </c>
      <c r="C1904" t="s">
        <v>151</v>
      </c>
      <c r="D1904" t="s">
        <v>160</v>
      </c>
      <c r="E1904" t="s">
        <v>47</v>
      </c>
      <c r="F1904" t="s">
        <v>161</v>
      </c>
      <c r="G1904">
        <v>14600</v>
      </c>
      <c r="H1904" t="s">
        <v>147</v>
      </c>
      <c r="I1904" t="s">
        <v>162</v>
      </c>
    </row>
    <row r="1905" spans="1:9">
      <c r="A1905" s="50">
        <v>45570</v>
      </c>
      <c r="B1905" s="51">
        <v>0.8040393518518518</v>
      </c>
      <c r="C1905" t="s">
        <v>145</v>
      </c>
      <c r="D1905" t="s">
        <v>35</v>
      </c>
      <c r="E1905" t="s">
        <v>47</v>
      </c>
      <c r="F1905" t="s">
        <v>197</v>
      </c>
      <c r="G1905">
        <v>-2500</v>
      </c>
      <c r="H1905" t="s">
        <v>147</v>
      </c>
      <c r="I1905" t="s">
        <v>162</v>
      </c>
    </row>
    <row r="1906" spans="1:9">
      <c r="A1906" s="50">
        <v>45570</v>
      </c>
      <c r="B1906" s="51">
        <v>0.769375</v>
      </c>
      <c r="C1906" t="s">
        <v>145</v>
      </c>
      <c r="D1906" t="s">
        <v>47</v>
      </c>
      <c r="E1906" t="s">
        <v>47</v>
      </c>
      <c r="F1906" t="s">
        <v>603</v>
      </c>
      <c r="G1906">
        <v>-1200</v>
      </c>
      <c r="H1906" t="s">
        <v>147</v>
      </c>
      <c r="I1906" t="s">
        <v>162</v>
      </c>
    </row>
    <row r="1907" spans="1:9">
      <c r="A1907" s="50">
        <v>45570</v>
      </c>
      <c r="B1907" s="51">
        <v>0.7693634259259259</v>
      </c>
      <c r="C1907" t="s">
        <v>151</v>
      </c>
      <c r="D1907" t="s">
        <v>160</v>
      </c>
      <c r="E1907" t="s">
        <v>47</v>
      </c>
      <c r="F1907" t="s">
        <v>163</v>
      </c>
      <c r="G1907">
        <v>-10000</v>
      </c>
      <c r="H1907" t="s">
        <v>147</v>
      </c>
      <c r="I1907" t="s">
        <v>57</v>
      </c>
    </row>
    <row r="1908" spans="1:9">
      <c r="A1908" s="50">
        <v>45570</v>
      </c>
      <c r="B1908" s="51">
        <v>0.7693518518518518</v>
      </c>
      <c r="C1908" t="s">
        <v>151</v>
      </c>
      <c r="D1908" t="s">
        <v>160</v>
      </c>
      <c r="E1908" t="s">
        <v>47</v>
      </c>
      <c r="F1908" t="s">
        <v>161</v>
      </c>
      <c r="G1908">
        <v>10000</v>
      </c>
      <c r="H1908" t="s">
        <v>147</v>
      </c>
      <c r="I1908" t="s">
        <v>162</v>
      </c>
    </row>
    <row r="1909" spans="1:9">
      <c r="A1909" s="50">
        <v>45570</v>
      </c>
      <c r="B1909" s="51">
        <v>0.6755439814814815</v>
      </c>
      <c r="C1909" t="s">
        <v>151</v>
      </c>
      <c r="D1909" t="s">
        <v>151</v>
      </c>
      <c r="E1909" t="s">
        <v>47</v>
      </c>
      <c r="F1909" t="s">
        <v>163</v>
      </c>
      <c r="G1909">
        <v>-13950</v>
      </c>
      <c r="H1909" t="s">
        <v>147</v>
      </c>
      <c r="I1909" t="s">
        <v>57</v>
      </c>
    </row>
    <row r="1910" spans="1:9">
      <c r="A1910" s="50">
        <v>45570</v>
      </c>
      <c r="B1910" s="51">
        <v>0.2658217592592593</v>
      </c>
      <c r="C1910" t="s">
        <v>145</v>
      </c>
      <c r="D1910" t="s">
        <v>47</v>
      </c>
      <c r="E1910" t="s">
        <v>47</v>
      </c>
      <c r="F1910" t="s">
        <v>606</v>
      </c>
      <c r="G1910">
        <v>-15800</v>
      </c>
      <c r="H1910" t="s">
        <v>147</v>
      </c>
      <c r="I1910" t="s">
        <v>165</v>
      </c>
    </row>
    <row r="1911" spans="1:9">
      <c r="A1911" s="50">
        <v>45569</v>
      </c>
      <c r="B1911" s="51">
        <v>0.9084143518518518</v>
      </c>
      <c r="C1911" t="s">
        <v>145</v>
      </c>
      <c r="D1911" t="s">
        <v>47</v>
      </c>
      <c r="E1911" t="s">
        <v>47</v>
      </c>
      <c r="F1911" t="s">
        <v>603</v>
      </c>
      <c r="G1911">
        <v>-12000</v>
      </c>
      <c r="H1911" t="s">
        <v>147</v>
      </c>
      <c r="I1911" t="s">
        <v>162</v>
      </c>
    </row>
    <row r="1912" spans="1:9">
      <c r="A1912" s="50">
        <v>45569</v>
      </c>
      <c r="B1912" s="51">
        <v>0.9084027777777778</v>
      </c>
      <c r="C1912" t="s">
        <v>151</v>
      </c>
      <c r="D1912" t="s">
        <v>160</v>
      </c>
      <c r="E1912" t="s">
        <v>47</v>
      </c>
      <c r="F1912" t="s">
        <v>163</v>
      </c>
      <c r="G1912">
        <v>-10250</v>
      </c>
      <c r="H1912" t="s">
        <v>147</v>
      </c>
      <c r="I1912" t="s">
        <v>57</v>
      </c>
    </row>
    <row r="1913" spans="1:9">
      <c r="A1913" s="50">
        <v>45569</v>
      </c>
      <c r="B1913" s="51">
        <v>0.9084027777777778</v>
      </c>
      <c r="C1913" t="s">
        <v>151</v>
      </c>
      <c r="D1913" t="s">
        <v>160</v>
      </c>
      <c r="E1913" t="s">
        <v>47</v>
      </c>
      <c r="F1913" t="s">
        <v>161</v>
      </c>
      <c r="G1913">
        <v>10250</v>
      </c>
      <c r="H1913" t="s">
        <v>147</v>
      </c>
      <c r="I1913" t="s">
        <v>162</v>
      </c>
    </row>
    <row r="1914" spans="1:9">
      <c r="A1914" s="50">
        <v>45569</v>
      </c>
      <c r="B1914" s="51">
        <v>0.5648032407407407</v>
      </c>
      <c r="C1914" t="s">
        <v>151</v>
      </c>
      <c r="D1914" t="s">
        <v>160</v>
      </c>
      <c r="E1914" t="s">
        <v>47</v>
      </c>
      <c r="F1914" t="s">
        <v>7</v>
      </c>
      <c r="G1914">
        <v>200000</v>
      </c>
      <c r="H1914" t="s">
        <v>147</v>
      </c>
      <c r="I1914" t="s">
        <v>57</v>
      </c>
    </row>
    <row r="1915" spans="1:9">
      <c r="A1915" s="50">
        <v>45568</v>
      </c>
      <c r="B1915" s="51">
        <v>0.02039351851851852</v>
      </c>
      <c r="C1915" t="s">
        <v>145</v>
      </c>
      <c r="D1915" t="s">
        <v>47</v>
      </c>
      <c r="E1915" t="s">
        <v>47</v>
      </c>
      <c r="F1915" t="s">
        <v>603</v>
      </c>
      <c r="G1915">
        <v>-3880</v>
      </c>
      <c r="H1915" t="s">
        <v>147</v>
      </c>
      <c r="I1915" t="s">
        <v>162</v>
      </c>
    </row>
    <row r="1916" spans="1:9">
      <c r="A1916" s="50">
        <v>45567</v>
      </c>
      <c r="B1916" s="51">
        <v>0.9773842592592593</v>
      </c>
      <c r="C1916" t="s">
        <v>145</v>
      </c>
      <c r="D1916" t="s">
        <v>42</v>
      </c>
      <c r="E1916" t="s">
        <v>47</v>
      </c>
      <c r="F1916" t="s">
        <v>158</v>
      </c>
      <c r="G1916">
        <v>-50000</v>
      </c>
      <c r="H1916" t="s">
        <v>147</v>
      </c>
      <c r="I1916" t="s">
        <v>57</v>
      </c>
    </row>
    <row r="1917" spans="1:9">
      <c r="A1917" s="50">
        <v>45567</v>
      </c>
      <c r="B1917" s="51">
        <v>0.78625</v>
      </c>
      <c r="C1917" t="s">
        <v>145</v>
      </c>
      <c r="D1917" t="s">
        <v>47</v>
      </c>
      <c r="E1917" t="s">
        <v>47</v>
      </c>
      <c r="F1917" t="s">
        <v>603</v>
      </c>
      <c r="G1917">
        <v>-11000</v>
      </c>
      <c r="H1917" t="s">
        <v>147</v>
      </c>
      <c r="I1917" t="s">
        <v>162</v>
      </c>
    </row>
    <row r="1918" spans="1:9">
      <c r="A1918" s="50">
        <v>45567</v>
      </c>
      <c r="B1918" s="51">
        <v>0.786238425925926</v>
      </c>
      <c r="C1918" t="s">
        <v>151</v>
      </c>
      <c r="D1918" t="s">
        <v>160</v>
      </c>
      <c r="E1918" t="s">
        <v>47</v>
      </c>
      <c r="F1918" t="s">
        <v>163</v>
      </c>
      <c r="G1918">
        <v>-10000</v>
      </c>
      <c r="H1918" t="s">
        <v>147</v>
      </c>
      <c r="I1918" t="s">
        <v>57</v>
      </c>
    </row>
    <row r="1919" spans="1:9">
      <c r="A1919" s="50">
        <v>45567</v>
      </c>
      <c r="B1919" s="51">
        <v>0.786238425925926</v>
      </c>
      <c r="C1919" t="s">
        <v>151</v>
      </c>
      <c r="D1919" t="s">
        <v>160</v>
      </c>
      <c r="E1919" t="s">
        <v>47</v>
      </c>
      <c r="F1919" t="s">
        <v>161</v>
      </c>
      <c r="G1919">
        <v>10000</v>
      </c>
      <c r="H1919" t="s">
        <v>147</v>
      </c>
      <c r="I1919" t="s">
        <v>162</v>
      </c>
    </row>
    <row r="1920" spans="1:9">
      <c r="A1920" s="50">
        <v>45567</v>
      </c>
      <c r="B1920" s="51">
        <v>0.7810995370370371</v>
      </c>
      <c r="C1920" t="s">
        <v>145</v>
      </c>
      <c r="D1920" t="s">
        <v>42</v>
      </c>
      <c r="E1920" t="s">
        <v>47</v>
      </c>
      <c r="F1920" t="s">
        <v>158</v>
      </c>
      <c r="G1920">
        <v>-50000</v>
      </c>
      <c r="H1920" t="s">
        <v>147</v>
      </c>
      <c r="I1920" t="s">
        <v>57</v>
      </c>
    </row>
    <row r="1921" spans="1:9">
      <c r="A1921" s="50">
        <v>45567</v>
      </c>
      <c r="B1921" s="51">
        <v>0.738738425925926</v>
      </c>
      <c r="C1921" t="s">
        <v>151</v>
      </c>
      <c r="D1921" t="s">
        <v>160</v>
      </c>
      <c r="E1921" t="s">
        <v>47</v>
      </c>
      <c r="F1921" t="s">
        <v>7</v>
      </c>
      <c r="G1921">
        <v>100000</v>
      </c>
      <c r="H1921" t="s">
        <v>147</v>
      </c>
      <c r="I1921" t="s">
        <v>57</v>
      </c>
    </row>
    <row r="1922" spans="1:9">
      <c r="A1922" s="50">
        <v>45567</v>
      </c>
      <c r="B1922" s="51">
        <v>0.5454745370370371</v>
      </c>
      <c r="C1922" t="s">
        <v>145</v>
      </c>
      <c r="D1922" t="s">
        <v>35</v>
      </c>
      <c r="E1922" t="s">
        <v>47</v>
      </c>
      <c r="F1922" t="s">
        <v>197</v>
      </c>
      <c r="G1922">
        <v>-5500</v>
      </c>
      <c r="H1922" t="s">
        <v>147</v>
      </c>
      <c r="I1922" t="s">
        <v>162</v>
      </c>
    </row>
    <row r="1923" spans="1:9">
      <c r="A1923" s="50">
        <v>45567</v>
      </c>
      <c r="B1923" s="51">
        <v>0.5454629629629629</v>
      </c>
      <c r="C1923" t="s">
        <v>151</v>
      </c>
      <c r="D1923" t="s">
        <v>160</v>
      </c>
      <c r="E1923" t="s">
        <v>47</v>
      </c>
      <c r="F1923" t="s">
        <v>163</v>
      </c>
      <c r="G1923">
        <v>-10000</v>
      </c>
      <c r="H1923" t="s">
        <v>147</v>
      </c>
      <c r="I1923" t="s">
        <v>57</v>
      </c>
    </row>
    <row r="1924" spans="1:9">
      <c r="A1924" s="50">
        <v>45567</v>
      </c>
      <c r="B1924" s="51">
        <v>0.5454629629629629</v>
      </c>
      <c r="C1924" t="s">
        <v>151</v>
      </c>
      <c r="D1924" t="s">
        <v>160</v>
      </c>
      <c r="E1924" t="s">
        <v>47</v>
      </c>
      <c r="F1924" t="s">
        <v>161</v>
      </c>
      <c r="G1924">
        <v>10000</v>
      </c>
      <c r="H1924" t="s">
        <v>147</v>
      </c>
      <c r="I1924" t="s">
        <v>162</v>
      </c>
    </row>
    <row r="1925" spans="1:9">
      <c r="A1925" s="50">
        <v>45566</v>
      </c>
      <c r="B1925" s="51">
        <v>0.7827199074074074</v>
      </c>
      <c r="C1925" t="s">
        <v>145</v>
      </c>
      <c r="D1925" t="s">
        <v>47</v>
      </c>
      <c r="E1925" t="s">
        <v>47</v>
      </c>
      <c r="F1925" t="s">
        <v>603</v>
      </c>
      <c r="G1925">
        <v>-7870</v>
      </c>
      <c r="H1925" t="s">
        <v>147</v>
      </c>
      <c r="I1925" t="s">
        <v>162</v>
      </c>
    </row>
    <row r="1926" spans="1:9">
      <c r="A1926" s="50">
        <v>45566</v>
      </c>
      <c r="B1926" s="51">
        <v>0.7827083333333333</v>
      </c>
      <c r="C1926" t="s">
        <v>151</v>
      </c>
      <c r="D1926" t="s">
        <v>160</v>
      </c>
      <c r="E1926" t="s">
        <v>47</v>
      </c>
      <c r="F1926" t="s">
        <v>163</v>
      </c>
      <c r="G1926">
        <v>-10000</v>
      </c>
      <c r="H1926" t="s">
        <v>147</v>
      </c>
      <c r="I1926" t="s">
        <v>57</v>
      </c>
    </row>
    <row r="1927" spans="1:9">
      <c r="A1927" s="50">
        <v>45566</v>
      </c>
      <c r="B1927" s="51">
        <v>0.7827083333333333</v>
      </c>
      <c r="C1927" t="s">
        <v>151</v>
      </c>
      <c r="D1927" t="s">
        <v>160</v>
      </c>
      <c r="E1927" t="s">
        <v>47</v>
      </c>
      <c r="F1927" t="s">
        <v>161</v>
      </c>
      <c r="G1927">
        <v>10000</v>
      </c>
      <c r="H1927" t="s">
        <v>147</v>
      </c>
      <c r="I1927" t="s">
        <v>162</v>
      </c>
    </row>
    <row r="1928" spans="1:9">
      <c r="A1928" s="50">
        <v>45564</v>
      </c>
      <c r="B1928" s="51">
        <v>0.8062152777777778</v>
      </c>
      <c r="C1928" t="s">
        <v>145</v>
      </c>
      <c r="D1928" t="s">
        <v>40</v>
      </c>
      <c r="E1928" t="s">
        <v>47</v>
      </c>
      <c r="F1928" t="s">
        <v>228</v>
      </c>
      <c r="G1928">
        <v>-16900</v>
      </c>
      <c r="H1928" t="s">
        <v>147</v>
      </c>
      <c r="I1928" t="s">
        <v>148</v>
      </c>
    </row>
    <row r="1929" spans="1:9">
      <c r="A1929" s="50">
        <v>45564</v>
      </c>
      <c r="B1929" s="51">
        <v>0.4291898148148148</v>
      </c>
      <c r="C1929" t="s">
        <v>145</v>
      </c>
      <c r="D1929" t="s">
        <v>42</v>
      </c>
      <c r="E1929" t="s">
        <v>47</v>
      </c>
      <c r="F1929" t="s">
        <v>253</v>
      </c>
      <c r="G1929">
        <v>-42400</v>
      </c>
      <c r="H1929" t="s">
        <v>147</v>
      </c>
      <c r="I1929" t="s">
        <v>148</v>
      </c>
    </row>
    <row r="1930" spans="1:9">
      <c r="A1930" s="50">
        <v>45563</v>
      </c>
      <c r="B1930" s="51">
        <v>0.9959606481481481</v>
      </c>
      <c r="C1930" t="s">
        <v>145</v>
      </c>
      <c r="D1930" t="s">
        <v>40</v>
      </c>
      <c r="E1930" t="s">
        <v>47</v>
      </c>
      <c r="F1930" t="s">
        <v>308</v>
      </c>
      <c r="G1930">
        <v>-17300</v>
      </c>
      <c r="H1930" t="s">
        <v>147</v>
      </c>
      <c r="I1930" t="s">
        <v>165</v>
      </c>
    </row>
    <row r="1931" spans="1:9">
      <c r="A1931" s="50">
        <v>45563</v>
      </c>
      <c r="B1931" s="51">
        <v>0.992349537037037</v>
      </c>
      <c r="C1931" t="s">
        <v>145</v>
      </c>
      <c r="D1931" t="s">
        <v>40</v>
      </c>
      <c r="E1931" t="s">
        <v>47</v>
      </c>
      <c r="F1931" t="s">
        <v>607</v>
      </c>
      <c r="G1931">
        <v>-32000</v>
      </c>
      <c r="H1931" t="s">
        <v>147</v>
      </c>
      <c r="I1931" t="s">
        <v>165</v>
      </c>
    </row>
    <row r="1932" spans="1:9">
      <c r="A1932" s="50">
        <v>45563</v>
      </c>
      <c r="B1932" s="51">
        <v>0.9507407407407408</v>
      </c>
      <c r="C1932" t="s">
        <v>151</v>
      </c>
      <c r="D1932" t="s">
        <v>151</v>
      </c>
      <c r="E1932" t="s">
        <v>47</v>
      </c>
      <c r="F1932" t="s">
        <v>163</v>
      </c>
      <c r="G1932">
        <v>-59500</v>
      </c>
      <c r="H1932" t="s">
        <v>147</v>
      </c>
      <c r="I1932" t="s">
        <v>57</v>
      </c>
    </row>
    <row r="1933" spans="1:9">
      <c r="A1933" s="50">
        <v>45563</v>
      </c>
      <c r="B1933" s="51">
        <v>0.7401967592592592</v>
      </c>
      <c r="C1933" t="s">
        <v>145</v>
      </c>
      <c r="D1933" t="s">
        <v>40</v>
      </c>
      <c r="E1933" t="s">
        <v>47</v>
      </c>
      <c r="F1933" t="s">
        <v>228</v>
      </c>
      <c r="G1933">
        <v>-19800</v>
      </c>
      <c r="H1933" t="s">
        <v>147</v>
      </c>
      <c r="I1933" t="s">
        <v>148</v>
      </c>
    </row>
    <row r="1934" spans="1:9">
      <c r="A1934" s="50">
        <v>45563</v>
      </c>
      <c r="B1934" s="51">
        <v>0.7151273148148148</v>
      </c>
      <c r="C1934" t="s">
        <v>145</v>
      </c>
      <c r="D1934" t="s">
        <v>40</v>
      </c>
      <c r="E1934" t="s">
        <v>47</v>
      </c>
      <c r="F1934" t="s">
        <v>228</v>
      </c>
      <c r="G1934">
        <v>14800</v>
      </c>
      <c r="H1934" t="s">
        <v>147</v>
      </c>
      <c r="I1934" t="s">
        <v>148</v>
      </c>
    </row>
    <row r="1935" spans="1:9">
      <c r="A1935" s="50">
        <v>45563</v>
      </c>
      <c r="B1935" s="51">
        <v>0.7146759259259259</v>
      </c>
      <c r="C1935" t="s">
        <v>145</v>
      </c>
      <c r="D1935" t="s">
        <v>40</v>
      </c>
      <c r="E1935" t="s">
        <v>47</v>
      </c>
      <c r="F1935" t="s">
        <v>228</v>
      </c>
      <c r="G1935">
        <v>-14800</v>
      </c>
      <c r="H1935" t="s">
        <v>147</v>
      </c>
      <c r="I1935" t="s">
        <v>148</v>
      </c>
    </row>
    <row r="1936" spans="1:9">
      <c r="A1936" s="50">
        <v>45563</v>
      </c>
      <c r="B1936" s="51">
        <v>0.710474537037037</v>
      </c>
      <c r="C1936" t="s">
        <v>151</v>
      </c>
      <c r="D1936" t="s">
        <v>160</v>
      </c>
      <c r="E1936" t="s">
        <v>47</v>
      </c>
      <c r="F1936" t="s">
        <v>7</v>
      </c>
      <c r="G1936">
        <v>180000</v>
      </c>
      <c r="H1936" t="s">
        <v>147</v>
      </c>
      <c r="I1936" t="s">
        <v>57</v>
      </c>
    </row>
    <row r="1937" spans="1:9">
      <c r="A1937" s="50">
        <v>45563</v>
      </c>
      <c r="B1937" s="51">
        <v>0.5865277777777778</v>
      </c>
      <c r="C1937" t="s">
        <v>151</v>
      </c>
      <c r="D1937" t="s">
        <v>160</v>
      </c>
      <c r="E1937" t="s">
        <v>47</v>
      </c>
      <c r="F1937" t="s">
        <v>7</v>
      </c>
      <c r="G1937">
        <v>10000</v>
      </c>
      <c r="H1937" t="s">
        <v>147</v>
      </c>
      <c r="I1937" t="s">
        <v>61</v>
      </c>
    </row>
    <row r="1938" spans="1:9">
      <c r="A1938" s="50">
        <v>45563</v>
      </c>
      <c r="B1938" s="51">
        <v>0.5865277777777778</v>
      </c>
      <c r="C1938" t="s">
        <v>151</v>
      </c>
      <c r="D1938" t="s">
        <v>160</v>
      </c>
      <c r="E1938" t="s">
        <v>47</v>
      </c>
      <c r="F1938" t="s">
        <v>7</v>
      </c>
      <c r="G1938">
        <v>-10000</v>
      </c>
      <c r="H1938" t="s">
        <v>147</v>
      </c>
      <c r="I1938" t="s">
        <v>57</v>
      </c>
    </row>
    <row r="1939" spans="1:9">
      <c r="A1939" s="50">
        <v>45563</v>
      </c>
      <c r="B1939" s="51">
        <v>0.5862615740740741</v>
      </c>
      <c r="C1939" t="s">
        <v>145</v>
      </c>
      <c r="D1939" t="s">
        <v>35</v>
      </c>
      <c r="E1939" t="s">
        <v>47</v>
      </c>
      <c r="F1939" t="s">
        <v>502</v>
      </c>
      <c r="G1939">
        <v>-1020000</v>
      </c>
      <c r="H1939" t="s">
        <v>147</v>
      </c>
      <c r="I1939" t="s">
        <v>61</v>
      </c>
    </row>
    <row r="1940" spans="1:9">
      <c r="A1940" s="50">
        <v>45562</v>
      </c>
      <c r="B1940" s="51">
        <v>0.7137847222222222</v>
      </c>
      <c r="C1940" t="s">
        <v>145</v>
      </c>
      <c r="D1940" t="s">
        <v>42</v>
      </c>
      <c r="E1940" t="s">
        <v>47</v>
      </c>
      <c r="F1940" t="s">
        <v>153</v>
      </c>
      <c r="G1940">
        <v>-41650</v>
      </c>
      <c r="H1940" t="s">
        <v>147</v>
      </c>
      <c r="I1940" t="s">
        <v>154</v>
      </c>
    </row>
    <row r="1941" spans="1:9">
      <c r="A1941" s="50">
        <v>45562</v>
      </c>
      <c r="B1941" s="51">
        <v>0.5076157407407408</v>
      </c>
      <c r="C1941" t="s">
        <v>145</v>
      </c>
      <c r="D1941" t="s">
        <v>36</v>
      </c>
      <c r="E1941" t="s">
        <v>47</v>
      </c>
      <c r="F1941" t="s">
        <v>608</v>
      </c>
      <c r="G1941">
        <v>-403200</v>
      </c>
      <c r="H1941" t="s">
        <v>147</v>
      </c>
      <c r="I1941" t="s">
        <v>154</v>
      </c>
    </row>
    <row r="1942" spans="1:9">
      <c r="A1942" s="50">
        <v>45562</v>
      </c>
      <c r="B1942" s="51">
        <v>0.5076157407407408</v>
      </c>
      <c r="C1942" t="s">
        <v>151</v>
      </c>
      <c r="D1942" t="s">
        <v>160</v>
      </c>
      <c r="E1942" t="s">
        <v>47</v>
      </c>
      <c r="F1942" t="s">
        <v>163</v>
      </c>
      <c r="G1942">
        <v>-399397</v>
      </c>
      <c r="H1942" t="s">
        <v>147</v>
      </c>
      <c r="I1942" t="s">
        <v>57</v>
      </c>
    </row>
    <row r="1943" spans="1:9">
      <c r="A1943" s="50">
        <v>45562</v>
      </c>
      <c r="B1943" s="51">
        <v>0.5076157407407408</v>
      </c>
      <c r="C1943" t="s">
        <v>151</v>
      </c>
      <c r="D1943" t="s">
        <v>160</v>
      </c>
      <c r="E1943" t="s">
        <v>47</v>
      </c>
      <c r="F1943" t="s">
        <v>161</v>
      </c>
      <c r="G1943">
        <v>399397</v>
      </c>
      <c r="H1943" t="s">
        <v>147</v>
      </c>
      <c r="I1943" t="s">
        <v>162</v>
      </c>
    </row>
    <row r="1944" spans="1:9">
      <c r="A1944" s="50">
        <v>45562</v>
      </c>
      <c r="B1944" s="51">
        <v>0.4164583333333333</v>
      </c>
      <c r="C1944" t="s">
        <v>151</v>
      </c>
      <c r="D1944" t="s">
        <v>160</v>
      </c>
      <c r="E1944" t="s">
        <v>47</v>
      </c>
      <c r="F1944" t="s">
        <v>7</v>
      </c>
      <c r="G1944">
        <v>300000</v>
      </c>
      <c r="H1944" t="s">
        <v>147</v>
      </c>
      <c r="I1944" t="s">
        <v>57</v>
      </c>
    </row>
    <row r="1945" spans="1:9">
      <c r="A1945" s="50">
        <v>45562</v>
      </c>
      <c r="B1945" s="51">
        <v>0.4164583333333333</v>
      </c>
      <c r="C1945" t="s">
        <v>151</v>
      </c>
      <c r="D1945" t="s">
        <v>160</v>
      </c>
      <c r="E1945" t="s">
        <v>47</v>
      </c>
      <c r="F1945" t="s">
        <v>7</v>
      </c>
      <c r="G1945">
        <v>-300000</v>
      </c>
      <c r="H1945" t="s">
        <v>147</v>
      </c>
      <c r="I1945" t="s">
        <v>61</v>
      </c>
    </row>
    <row r="1946" spans="1:9">
      <c r="A1946" s="50">
        <v>45561</v>
      </c>
      <c r="B1946" s="51">
        <v>0.764537037037037</v>
      </c>
      <c r="C1946" t="s">
        <v>145</v>
      </c>
      <c r="D1946" t="s">
        <v>35</v>
      </c>
      <c r="E1946" t="s">
        <v>47</v>
      </c>
      <c r="F1946" t="s">
        <v>202</v>
      </c>
      <c r="G1946">
        <v>-10000</v>
      </c>
      <c r="H1946" t="s">
        <v>147</v>
      </c>
      <c r="I1946" t="s">
        <v>57</v>
      </c>
    </row>
    <row r="1947" spans="1:9">
      <c r="A1947" s="50">
        <v>45560</v>
      </c>
      <c r="B1947" s="51">
        <v>0.8497916666666666</v>
      </c>
      <c r="C1947" t="s">
        <v>145</v>
      </c>
      <c r="D1947" t="s">
        <v>47</v>
      </c>
      <c r="E1947" t="s">
        <v>47</v>
      </c>
      <c r="F1947" t="s">
        <v>603</v>
      </c>
      <c r="G1947">
        <v>-12300</v>
      </c>
      <c r="H1947" t="s">
        <v>147</v>
      </c>
      <c r="I1947" t="s">
        <v>162</v>
      </c>
    </row>
    <row r="1948" spans="1:9">
      <c r="A1948" s="50">
        <v>45560</v>
      </c>
      <c r="B1948" s="51">
        <v>0.8497800925925926</v>
      </c>
      <c r="C1948" t="s">
        <v>151</v>
      </c>
      <c r="D1948" t="s">
        <v>160</v>
      </c>
      <c r="E1948" t="s">
        <v>47</v>
      </c>
      <c r="F1948" t="s">
        <v>163</v>
      </c>
      <c r="G1948">
        <v>-10000</v>
      </c>
      <c r="H1948" t="s">
        <v>147</v>
      </c>
      <c r="I1948" t="s">
        <v>57</v>
      </c>
    </row>
    <row r="1949" spans="1:9">
      <c r="A1949" s="50">
        <v>45560</v>
      </c>
      <c r="B1949" s="51">
        <v>0.8497800925925926</v>
      </c>
      <c r="C1949" t="s">
        <v>151</v>
      </c>
      <c r="D1949" t="s">
        <v>160</v>
      </c>
      <c r="E1949" t="s">
        <v>47</v>
      </c>
      <c r="F1949" t="s">
        <v>161</v>
      </c>
      <c r="G1949">
        <v>10000</v>
      </c>
      <c r="H1949" t="s">
        <v>147</v>
      </c>
      <c r="I1949" t="s">
        <v>162</v>
      </c>
    </row>
    <row r="1950" spans="1:9">
      <c r="A1950" s="50">
        <v>45560</v>
      </c>
      <c r="B1950" s="51">
        <v>0.8057986111111111</v>
      </c>
      <c r="C1950" t="s">
        <v>145</v>
      </c>
      <c r="D1950" t="s">
        <v>35</v>
      </c>
      <c r="E1950" t="s">
        <v>204</v>
      </c>
      <c r="F1950" t="s">
        <v>609</v>
      </c>
      <c r="G1950">
        <v>-32200</v>
      </c>
      <c r="H1950" t="s">
        <v>147</v>
      </c>
      <c r="I1950" t="s">
        <v>57</v>
      </c>
    </row>
    <row r="1951" spans="1:9">
      <c r="A1951" s="50">
        <v>45560</v>
      </c>
      <c r="B1951" s="51">
        <v>0.8057986111111111</v>
      </c>
      <c r="C1951" t="s">
        <v>145</v>
      </c>
      <c r="D1951" t="s">
        <v>35</v>
      </c>
      <c r="E1951" t="s">
        <v>207</v>
      </c>
      <c r="F1951" t="s">
        <v>208</v>
      </c>
      <c r="G1951">
        <v>-3238</v>
      </c>
      <c r="H1951" t="s">
        <v>147</v>
      </c>
      <c r="I1951" t="s">
        <v>57</v>
      </c>
    </row>
    <row r="1952" spans="1:9">
      <c r="A1952" s="50">
        <v>45560</v>
      </c>
      <c r="B1952" s="51">
        <v>0.7862152777777778</v>
      </c>
      <c r="C1952" t="s">
        <v>145</v>
      </c>
      <c r="D1952" t="s">
        <v>35</v>
      </c>
      <c r="E1952" t="s">
        <v>204</v>
      </c>
      <c r="F1952" t="s">
        <v>610</v>
      </c>
      <c r="G1952">
        <v>-83870</v>
      </c>
      <c r="H1952" t="s">
        <v>147</v>
      </c>
      <c r="I1952" t="s">
        <v>57</v>
      </c>
    </row>
    <row r="1953" spans="1:9">
      <c r="A1953" s="50">
        <v>45560</v>
      </c>
      <c r="B1953" s="51">
        <v>0.7770717592592593</v>
      </c>
      <c r="C1953" t="s">
        <v>151</v>
      </c>
      <c r="D1953" t="s">
        <v>198</v>
      </c>
      <c r="E1953" t="s">
        <v>47</v>
      </c>
      <c r="F1953" t="s">
        <v>211</v>
      </c>
      <c r="G1953">
        <v>-20000</v>
      </c>
      <c r="H1953" t="s">
        <v>147</v>
      </c>
      <c r="I1953" t="s">
        <v>57</v>
      </c>
    </row>
    <row r="1954" spans="1:9">
      <c r="A1954" s="50">
        <v>45560</v>
      </c>
      <c r="B1954" s="51">
        <v>0.773900462962963</v>
      </c>
      <c r="C1954" t="s">
        <v>145</v>
      </c>
      <c r="D1954" t="s">
        <v>42</v>
      </c>
      <c r="E1954" t="s">
        <v>47</v>
      </c>
      <c r="F1954" t="s">
        <v>611</v>
      </c>
      <c r="G1954">
        <v>-40000</v>
      </c>
      <c r="H1954" t="s">
        <v>147</v>
      </c>
      <c r="I1954" t="s">
        <v>57</v>
      </c>
    </row>
    <row r="1955" spans="1:9">
      <c r="A1955" s="50">
        <v>45560</v>
      </c>
      <c r="B1955" s="51">
        <v>0.5815277777777778</v>
      </c>
      <c r="C1955" t="s">
        <v>151</v>
      </c>
      <c r="D1955" t="s">
        <v>160</v>
      </c>
      <c r="E1955" t="s">
        <v>47</v>
      </c>
      <c r="F1955" t="s">
        <v>7</v>
      </c>
      <c r="G1955">
        <v>-600000</v>
      </c>
      <c r="H1955" t="s">
        <v>147</v>
      </c>
      <c r="I1955" t="s">
        <v>57</v>
      </c>
    </row>
    <row r="1956" spans="1:9">
      <c r="A1956" s="50">
        <v>45560</v>
      </c>
      <c r="B1956" s="51">
        <v>0.5815277777777778</v>
      </c>
      <c r="C1956" t="s">
        <v>151</v>
      </c>
      <c r="D1956" t="s">
        <v>160</v>
      </c>
      <c r="E1956" t="s">
        <v>47</v>
      </c>
      <c r="F1956" t="s">
        <v>7</v>
      </c>
      <c r="G1956">
        <v>600000</v>
      </c>
      <c r="H1956" t="s">
        <v>147</v>
      </c>
      <c r="I1956" t="s">
        <v>61</v>
      </c>
    </row>
    <row r="1957" spans="1:9">
      <c r="A1957" s="50">
        <v>45560</v>
      </c>
      <c r="B1957" s="51">
        <v>0.5807638888888889</v>
      </c>
      <c r="C1957" t="s">
        <v>151</v>
      </c>
      <c r="D1957" t="s">
        <v>160</v>
      </c>
      <c r="E1957" t="s">
        <v>47</v>
      </c>
      <c r="F1957" t="s">
        <v>7</v>
      </c>
      <c r="G1957">
        <v>-1000000</v>
      </c>
      <c r="H1957" t="s">
        <v>147</v>
      </c>
      <c r="I1957" t="s">
        <v>57</v>
      </c>
    </row>
    <row r="1958" spans="1:9">
      <c r="A1958" s="50">
        <v>45560</v>
      </c>
      <c r="B1958" s="51">
        <v>0.5009259259259259</v>
      </c>
      <c r="C1958" t="s">
        <v>151</v>
      </c>
      <c r="D1958" t="s">
        <v>160</v>
      </c>
      <c r="E1958" t="s">
        <v>47</v>
      </c>
      <c r="F1958" t="s">
        <v>7</v>
      </c>
      <c r="G1958">
        <v>-400000</v>
      </c>
      <c r="H1958" t="s">
        <v>147</v>
      </c>
      <c r="I1958" t="s">
        <v>61</v>
      </c>
    </row>
    <row r="1959" spans="1:9">
      <c r="A1959" s="50">
        <v>45560</v>
      </c>
      <c r="B1959" s="51">
        <v>0.5009259259259259</v>
      </c>
      <c r="C1959" t="s">
        <v>151</v>
      </c>
      <c r="D1959" t="s">
        <v>160</v>
      </c>
      <c r="E1959" t="s">
        <v>47</v>
      </c>
      <c r="F1959" t="s">
        <v>7</v>
      </c>
      <c r="G1959">
        <v>400000</v>
      </c>
      <c r="H1959" t="s">
        <v>147</v>
      </c>
      <c r="I1959" t="s">
        <v>57</v>
      </c>
    </row>
    <row r="1960" spans="1:9">
      <c r="A1960" s="50">
        <v>45560</v>
      </c>
      <c r="B1960" s="51">
        <v>0.3799652777777778</v>
      </c>
      <c r="C1960" t="s">
        <v>151</v>
      </c>
      <c r="D1960" t="s">
        <v>198</v>
      </c>
      <c r="E1960" t="s">
        <v>47</v>
      </c>
      <c r="F1960" t="s">
        <v>214</v>
      </c>
      <c r="G1960">
        <v>-100000</v>
      </c>
      <c r="H1960" t="s">
        <v>147</v>
      </c>
      <c r="I1960" t="s">
        <v>57</v>
      </c>
    </row>
    <row r="1961" spans="1:9">
      <c r="A1961" s="50">
        <v>45560</v>
      </c>
      <c r="B1961" s="51">
        <v>0.3662731481481482</v>
      </c>
      <c r="C1961" t="s">
        <v>151</v>
      </c>
      <c r="D1961" t="s">
        <v>198</v>
      </c>
      <c r="E1961" t="s">
        <v>47</v>
      </c>
      <c r="F1961" t="s">
        <v>213</v>
      </c>
      <c r="G1961">
        <v>1665330</v>
      </c>
      <c r="H1961" t="s">
        <v>147</v>
      </c>
      <c r="I1961" t="s">
        <v>57</v>
      </c>
    </row>
    <row r="1962" spans="1:9">
      <c r="A1962" s="50">
        <v>45559</v>
      </c>
      <c r="B1962" s="51">
        <v>0.3757291666666667</v>
      </c>
      <c r="C1962" t="s">
        <v>145</v>
      </c>
      <c r="D1962" t="s">
        <v>42</v>
      </c>
      <c r="E1962" t="s">
        <v>47</v>
      </c>
      <c r="F1962" t="s">
        <v>153</v>
      </c>
      <c r="G1962">
        <v>-3900</v>
      </c>
      <c r="H1962" t="s">
        <v>147</v>
      </c>
      <c r="I1962" t="s">
        <v>154</v>
      </c>
    </row>
    <row r="1963" spans="1:9">
      <c r="A1963" s="50">
        <v>45559</v>
      </c>
      <c r="B1963" s="51">
        <v>0.3757291666666667</v>
      </c>
      <c r="C1963" t="s">
        <v>151</v>
      </c>
      <c r="D1963" t="s">
        <v>160</v>
      </c>
      <c r="E1963" t="s">
        <v>47</v>
      </c>
      <c r="F1963" t="s">
        <v>163</v>
      </c>
      <c r="G1963">
        <v>-10000</v>
      </c>
      <c r="H1963" t="s">
        <v>147</v>
      </c>
      <c r="I1963" t="s">
        <v>57</v>
      </c>
    </row>
    <row r="1964" spans="1:9">
      <c r="A1964" s="50">
        <v>45559</v>
      </c>
      <c r="B1964" s="51">
        <v>0.3757291666666667</v>
      </c>
      <c r="C1964" t="s">
        <v>151</v>
      </c>
      <c r="D1964" t="s">
        <v>160</v>
      </c>
      <c r="E1964" t="s">
        <v>47</v>
      </c>
      <c r="F1964" t="s">
        <v>161</v>
      </c>
      <c r="G1964">
        <v>10000</v>
      </c>
      <c r="H1964" t="s">
        <v>147</v>
      </c>
      <c r="I1964" t="s">
        <v>162</v>
      </c>
    </row>
    <row r="1965" spans="1:9">
      <c r="A1965" s="50">
        <v>45558</v>
      </c>
      <c r="B1965" s="51">
        <v>0.8366319444444444</v>
      </c>
      <c r="C1965" t="s">
        <v>145</v>
      </c>
      <c r="D1965" t="s">
        <v>44</v>
      </c>
      <c r="E1965" t="s">
        <v>220</v>
      </c>
      <c r="F1965" t="s">
        <v>221</v>
      </c>
      <c r="G1965">
        <v>-41678</v>
      </c>
      <c r="H1965" t="s">
        <v>147</v>
      </c>
      <c r="I1965" t="s">
        <v>57</v>
      </c>
    </row>
    <row r="1966" spans="1:9">
      <c r="A1966" s="50">
        <v>45558</v>
      </c>
      <c r="B1966" s="51">
        <v>0.7923032407407408</v>
      </c>
      <c r="C1966" t="s">
        <v>151</v>
      </c>
      <c r="D1966" t="s">
        <v>160</v>
      </c>
      <c r="E1966" t="s">
        <v>47</v>
      </c>
      <c r="F1966" t="s">
        <v>7</v>
      </c>
      <c r="G1966">
        <v>100000</v>
      </c>
      <c r="H1966" t="s">
        <v>147</v>
      </c>
      <c r="I1966" t="s">
        <v>57</v>
      </c>
    </row>
    <row r="1967" spans="1:9">
      <c r="A1967" s="50">
        <v>45558</v>
      </c>
      <c r="B1967" s="51">
        <v>0.7923032407407408</v>
      </c>
      <c r="C1967" t="s">
        <v>151</v>
      </c>
      <c r="D1967" t="s">
        <v>160</v>
      </c>
      <c r="E1967" t="s">
        <v>47</v>
      </c>
      <c r="F1967" t="s">
        <v>7</v>
      </c>
      <c r="G1967">
        <v>-100000</v>
      </c>
      <c r="H1967" t="s">
        <v>147</v>
      </c>
      <c r="I1967" t="s">
        <v>61</v>
      </c>
    </row>
    <row r="1968" spans="1:9">
      <c r="A1968" s="50">
        <v>45558</v>
      </c>
      <c r="B1968" s="51">
        <v>0.7915509259259259</v>
      </c>
      <c r="C1968" t="s">
        <v>151</v>
      </c>
      <c r="D1968" t="s">
        <v>64</v>
      </c>
      <c r="E1968" t="s">
        <v>47</v>
      </c>
      <c r="F1968" t="s">
        <v>612</v>
      </c>
      <c r="G1968">
        <v>1</v>
      </c>
      <c r="H1968" t="s">
        <v>147</v>
      </c>
      <c r="I1968" t="s">
        <v>57</v>
      </c>
    </row>
    <row r="1969" spans="1:9">
      <c r="A1969" s="50">
        <v>45558</v>
      </c>
      <c r="B1969" s="51">
        <v>0.7685300925925926</v>
      </c>
      <c r="C1969" t="s">
        <v>145</v>
      </c>
      <c r="D1969" t="s">
        <v>44</v>
      </c>
      <c r="E1969" t="s">
        <v>220</v>
      </c>
      <c r="F1969" t="s">
        <v>221</v>
      </c>
      <c r="G1969">
        <v>-54942</v>
      </c>
      <c r="H1969" t="s">
        <v>147</v>
      </c>
      <c r="I1969" t="s">
        <v>57</v>
      </c>
    </row>
    <row r="1970" spans="1:9">
      <c r="A1970" s="50">
        <v>45558</v>
      </c>
      <c r="B1970" s="51">
        <v>0.7474768518518519</v>
      </c>
      <c r="C1970" t="s">
        <v>145</v>
      </c>
      <c r="D1970" t="s">
        <v>40</v>
      </c>
      <c r="E1970" t="s">
        <v>47</v>
      </c>
      <c r="F1970" t="s">
        <v>228</v>
      </c>
      <c r="G1970">
        <v>-13300</v>
      </c>
      <c r="H1970" t="s">
        <v>147</v>
      </c>
      <c r="I1970" t="s">
        <v>148</v>
      </c>
    </row>
    <row r="1971" spans="1:9">
      <c r="A1971" s="50">
        <v>45557</v>
      </c>
      <c r="B1971" s="51">
        <v>0.797511574074074</v>
      </c>
      <c r="C1971" t="s">
        <v>145</v>
      </c>
      <c r="D1971" t="s">
        <v>42</v>
      </c>
      <c r="E1971" t="s">
        <v>47</v>
      </c>
      <c r="F1971" t="s">
        <v>158</v>
      </c>
      <c r="G1971">
        <v>-140000</v>
      </c>
      <c r="H1971" t="s">
        <v>147</v>
      </c>
      <c r="I1971" t="s">
        <v>57</v>
      </c>
    </row>
    <row r="1972" spans="1:9">
      <c r="A1972" s="50">
        <v>45557</v>
      </c>
      <c r="B1972" s="51">
        <v>0.7931018518518519</v>
      </c>
      <c r="C1972" t="s">
        <v>151</v>
      </c>
      <c r="D1972" t="s">
        <v>160</v>
      </c>
      <c r="E1972" t="s">
        <v>47</v>
      </c>
      <c r="F1972" t="s">
        <v>7</v>
      </c>
      <c r="G1972">
        <v>200000</v>
      </c>
      <c r="H1972" t="s">
        <v>147</v>
      </c>
      <c r="I1972" t="s">
        <v>57</v>
      </c>
    </row>
    <row r="1973" spans="1:9">
      <c r="A1973" s="50">
        <v>45557</v>
      </c>
      <c r="B1973" s="51">
        <v>0.7931018518518519</v>
      </c>
      <c r="C1973" t="s">
        <v>151</v>
      </c>
      <c r="D1973" t="s">
        <v>160</v>
      </c>
      <c r="E1973" t="s">
        <v>47</v>
      </c>
      <c r="F1973" t="s">
        <v>7</v>
      </c>
      <c r="G1973">
        <v>-200000</v>
      </c>
      <c r="H1973" t="s">
        <v>147</v>
      </c>
      <c r="I1973" t="s">
        <v>61</v>
      </c>
    </row>
    <row r="1974" spans="1:9">
      <c r="A1974" s="50">
        <v>45557</v>
      </c>
      <c r="B1974" s="51">
        <v>0.7027430555555556</v>
      </c>
      <c r="C1974" t="s">
        <v>151</v>
      </c>
      <c r="D1974" t="s">
        <v>151</v>
      </c>
      <c r="E1974" t="s">
        <v>47</v>
      </c>
      <c r="F1974" t="s">
        <v>163</v>
      </c>
      <c r="G1974">
        <v>-16700</v>
      </c>
      <c r="H1974" t="s">
        <v>147</v>
      </c>
      <c r="I1974" t="s">
        <v>57</v>
      </c>
    </row>
    <row r="1975" spans="1:9">
      <c r="A1975" s="50">
        <v>45557</v>
      </c>
      <c r="B1975" s="51">
        <v>0.3744097222222222</v>
      </c>
      <c r="C1975" t="s">
        <v>145</v>
      </c>
      <c r="D1975" t="s">
        <v>42</v>
      </c>
      <c r="E1975" t="s">
        <v>47</v>
      </c>
      <c r="F1975" t="s">
        <v>253</v>
      </c>
      <c r="G1975">
        <v>-27090</v>
      </c>
      <c r="H1975" t="s">
        <v>147</v>
      </c>
      <c r="I1975" t="s">
        <v>148</v>
      </c>
    </row>
    <row r="1976" spans="1:9">
      <c r="A1976" s="50">
        <v>45556</v>
      </c>
      <c r="B1976" s="51">
        <v>0.9018981481481482</v>
      </c>
      <c r="C1976" t="s">
        <v>145</v>
      </c>
      <c r="D1976" t="s">
        <v>42</v>
      </c>
      <c r="E1976" t="s">
        <v>47</v>
      </c>
      <c r="F1976" t="s">
        <v>613</v>
      </c>
      <c r="G1976">
        <v>-87600</v>
      </c>
      <c r="H1976" t="s">
        <v>147</v>
      </c>
      <c r="I1976" t="s">
        <v>148</v>
      </c>
    </row>
    <row r="1977" spans="1:9">
      <c r="A1977" s="50">
        <v>45556</v>
      </c>
      <c r="B1977" s="51">
        <v>0.8527199074074074</v>
      </c>
      <c r="C1977" t="s">
        <v>151</v>
      </c>
      <c r="D1977" t="s">
        <v>151</v>
      </c>
      <c r="E1977" t="s">
        <v>47</v>
      </c>
      <c r="F1977" t="s">
        <v>392</v>
      </c>
      <c r="G1977">
        <v>-100000</v>
      </c>
      <c r="H1977" t="s">
        <v>147</v>
      </c>
      <c r="I1977" t="s">
        <v>61</v>
      </c>
    </row>
    <row r="1978" spans="1:9">
      <c r="A1978" s="50">
        <v>45556</v>
      </c>
      <c r="B1978" s="51">
        <v>0.7509722222222223</v>
      </c>
      <c r="C1978" t="s">
        <v>145</v>
      </c>
      <c r="D1978" t="s">
        <v>42</v>
      </c>
      <c r="E1978" t="s">
        <v>47</v>
      </c>
      <c r="F1978" t="s">
        <v>158</v>
      </c>
      <c r="G1978">
        <v>-60000</v>
      </c>
      <c r="H1978" t="s">
        <v>147</v>
      </c>
      <c r="I1978" t="s">
        <v>57</v>
      </c>
    </row>
    <row r="1979" spans="1:9">
      <c r="A1979" s="50">
        <v>45555</v>
      </c>
      <c r="B1979" s="51">
        <v>0.8335648148148148</v>
      </c>
      <c r="C1979" t="s">
        <v>151</v>
      </c>
      <c r="D1979" t="s">
        <v>160</v>
      </c>
      <c r="E1979" t="s">
        <v>47</v>
      </c>
      <c r="F1979" t="s">
        <v>7</v>
      </c>
      <c r="G1979">
        <v>100000</v>
      </c>
      <c r="H1979" t="s">
        <v>147</v>
      </c>
      <c r="I1979" t="s">
        <v>57</v>
      </c>
    </row>
    <row r="1980" spans="1:9">
      <c r="A1980" s="50">
        <v>45555</v>
      </c>
      <c r="B1980" s="51">
        <v>0.8335648148148148</v>
      </c>
      <c r="C1980" t="s">
        <v>151</v>
      </c>
      <c r="D1980" t="s">
        <v>160</v>
      </c>
      <c r="E1980" t="s">
        <v>47</v>
      </c>
      <c r="F1980" t="s">
        <v>7</v>
      </c>
      <c r="G1980">
        <v>-100000</v>
      </c>
      <c r="H1980" t="s">
        <v>147</v>
      </c>
      <c r="I1980" t="s">
        <v>61</v>
      </c>
    </row>
    <row r="1981" spans="1:9">
      <c r="A1981" s="50">
        <v>45555</v>
      </c>
      <c r="B1981" s="51">
        <v>0.757337962962963</v>
      </c>
      <c r="C1981" t="s">
        <v>145</v>
      </c>
      <c r="D1981" t="s">
        <v>42</v>
      </c>
      <c r="E1981" t="s">
        <v>47</v>
      </c>
      <c r="F1981" t="s">
        <v>216</v>
      </c>
      <c r="G1981">
        <v>-15400</v>
      </c>
      <c r="H1981" t="s">
        <v>147</v>
      </c>
      <c r="I1981" t="s">
        <v>148</v>
      </c>
    </row>
    <row r="1982" spans="1:9">
      <c r="A1982" s="50">
        <v>45555</v>
      </c>
      <c r="B1982" s="51">
        <v>0.7565972222222223</v>
      </c>
      <c r="C1982" t="s">
        <v>151</v>
      </c>
      <c r="D1982" t="s">
        <v>160</v>
      </c>
      <c r="E1982" t="s">
        <v>47</v>
      </c>
      <c r="F1982" t="s">
        <v>7</v>
      </c>
      <c r="G1982">
        <v>-100000</v>
      </c>
      <c r="H1982" t="s">
        <v>147</v>
      </c>
      <c r="I1982" t="s">
        <v>61</v>
      </c>
    </row>
    <row r="1983" spans="1:9">
      <c r="A1983" s="50">
        <v>45555</v>
      </c>
      <c r="B1983" s="51">
        <v>0.7565972222222223</v>
      </c>
      <c r="C1983" t="s">
        <v>151</v>
      </c>
      <c r="D1983" t="s">
        <v>160</v>
      </c>
      <c r="E1983" t="s">
        <v>47</v>
      </c>
      <c r="F1983" t="s">
        <v>7</v>
      </c>
      <c r="G1983">
        <v>100000</v>
      </c>
      <c r="H1983" t="s">
        <v>147</v>
      </c>
      <c r="I1983" t="s">
        <v>57</v>
      </c>
    </row>
    <row r="1984" spans="1:9">
      <c r="A1984" s="50">
        <v>45554</v>
      </c>
      <c r="B1984" s="51">
        <v>0.7535995370370371</v>
      </c>
      <c r="C1984" t="s">
        <v>145</v>
      </c>
      <c r="D1984" t="s">
        <v>40</v>
      </c>
      <c r="E1984" t="s">
        <v>47</v>
      </c>
      <c r="F1984" t="s">
        <v>228</v>
      </c>
      <c r="G1984">
        <v>-17700</v>
      </c>
      <c r="H1984" t="s">
        <v>147</v>
      </c>
      <c r="I1984" t="s">
        <v>148</v>
      </c>
    </row>
    <row r="1985" spans="1:9">
      <c r="A1985" s="50">
        <v>45554</v>
      </c>
      <c r="B1985" s="51">
        <v>0.459375</v>
      </c>
      <c r="C1985" t="s">
        <v>145</v>
      </c>
      <c r="D1985" t="s">
        <v>32</v>
      </c>
      <c r="E1985" t="s">
        <v>47</v>
      </c>
      <c r="F1985" t="s">
        <v>583</v>
      </c>
      <c r="G1985">
        <v>-30000</v>
      </c>
      <c r="H1985" t="s">
        <v>147</v>
      </c>
      <c r="I1985" t="s">
        <v>148</v>
      </c>
    </row>
    <row r="1986" spans="1:9">
      <c r="A1986" s="50">
        <v>45554</v>
      </c>
      <c r="B1986" s="51">
        <v>0.4101273148148148</v>
      </c>
      <c r="C1986" t="s">
        <v>151</v>
      </c>
      <c r="D1986" t="s">
        <v>151</v>
      </c>
      <c r="E1986" t="s">
        <v>47</v>
      </c>
      <c r="F1986" t="s">
        <v>614</v>
      </c>
      <c r="G1986">
        <v>-20000</v>
      </c>
      <c r="H1986" t="s">
        <v>147</v>
      </c>
      <c r="I1986" t="s">
        <v>162</v>
      </c>
    </row>
    <row r="1987" spans="1:9">
      <c r="A1987" s="50">
        <v>45554</v>
      </c>
      <c r="B1987" s="51">
        <v>0.4101157407407408</v>
      </c>
      <c r="C1987" t="s">
        <v>151</v>
      </c>
      <c r="D1987" t="s">
        <v>160</v>
      </c>
      <c r="E1987" t="s">
        <v>47</v>
      </c>
      <c r="F1987" t="s">
        <v>163</v>
      </c>
      <c r="G1987">
        <v>-15580</v>
      </c>
      <c r="H1987" t="s">
        <v>147</v>
      </c>
      <c r="I1987" t="s">
        <v>57</v>
      </c>
    </row>
    <row r="1988" spans="1:9">
      <c r="A1988" s="50">
        <v>45554</v>
      </c>
      <c r="B1988" s="51">
        <v>0.4101157407407408</v>
      </c>
      <c r="C1988" t="s">
        <v>151</v>
      </c>
      <c r="D1988" t="s">
        <v>160</v>
      </c>
      <c r="E1988" t="s">
        <v>47</v>
      </c>
      <c r="F1988" t="s">
        <v>161</v>
      </c>
      <c r="G1988">
        <v>15580</v>
      </c>
      <c r="H1988" t="s">
        <v>147</v>
      </c>
      <c r="I1988" t="s">
        <v>162</v>
      </c>
    </row>
    <row r="1989" spans="1:9">
      <c r="A1989" s="50">
        <v>45554</v>
      </c>
      <c r="B1989" s="51">
        <v>0.1310185185185185</v>
      </c>
      <c r="C1989" t="s">
        <v>145</v>
      </c>
      <c r="D1989" t="s">
        <v>35</v>
      </c>
      <c r="E1989" t="s">
        <v>207</v>
      </c>
      <c r="F1989" t="s">
        <v>234</v>
      </c>
      <c r="G1989">
        <v>-223888</v>
      </c>
      <c r="H1989" t="s">
        <v>147</v>
      </c>
      <c r="I1989" t="s">
        <v>57</v>
      </c>
    </row>
    <row r="1990" spans="1:9">
      <c r="A1990" s="50">
        <v>45554</v>
      </c>
      <c r="B1990" s="51">
        <v>0.1287152777777778</v>
      </c>
      <c r="C1990" t="s">
        <v>151</v>
      </c>
      <c r="D1990" t="s">
        <v>151</v>
      </c>
      <c r="E1990" t="s">
        <v>47</v>
      </c>
      <c r="F1990" t="s">
        <v>234</v>
      </c>
      <c r="G1990">
        <v>-377149</v>
      </c>
      <c r="H1990" t="s">
        <v>147</v>
      </c>
      <c r="I1990" t="s">
        <v>61</v>
      </c>
    </row>
    <row r="1991" spans="1:9">
      <c r="A1991" s="50">
        <v>45553</v>
      </c>
      <c r="B1991" s="51">
        <v>0.8945949074074074</v>
      </c>
      <c r="C1991" t="s">
        <v>151</v>
      </c>
      <c r="D1991" t="s">
        <v>151</v>
      </c>
      <c r="E1991" t="s">
        <v>47</v>
      </c>
      <c r="F1991" t="s">
        <v>163</v>
      </c>
      <c r="G1991">
        <v>-10000</v>
      </c>
      <c r="H1991" t="s">
        <v>147</v>
      </c>
      <c r="I1991" t="s">
        <v>57</v>
      </c>
    </row>
    <row r="1992" spans="1:9">
      <c r="A1992" s="50">
        <v>45553</v>
      </c>
      <c r="B1992" s="51">
        <v>0.8945949074074074</v>
      </c>
      <c r="C1992" t="s">
        <v>145</v>
      </c>
      <c r="D1992" t="s">
        <v>47</v>
      </c>
      <c r="E1992" t="s">
        <v>47</v>
      </c>
      <c r="F1992" t="s">
        <v>603</v>
      </c>
      <c r="G1992">
        <v>-5580</v>
      </c>
      <c r="H1992" t="s">
        <v>147</v>
      </c>
      <c r="I1992" t="s">
        <v>162</v>
      </c>
    </row>
    <row r="1993" spans="1:9">
      <c r="A1993" s="50">
        <v>45553</v>
      </c>
      <c r="B1993" s="51">
        <v>0.8945833333333333</v>
      </c>
      <c r="C1993" t="s">
        <v>151</v>
      </c>
      <c r="D1993" t="s">
        <v>160</v>
      </c>
      <c r="E1993" t="s">
        <v>47</v>
      </c>
      <c r="F1993" t="s">
        <v>161</v>
      </c>
      <c r="G1993">
        <v>10000</v>
      </c>
      <c r="H1993" t="s">
        <v>147</v>
      </c>
      <c r="I1993" t="s">
        <v>162</v>
      </c>
    </row>
    <row r="1994" spans="1:9">
      <c r="A1994" s="50">
        <v>45552</v>
      </c>
      <c r="B1994" s="51">
        <v>0.5426041666666667</v>
      </c>
      <c r="C1994" t="s">
        <v>145</v>
      </c>
      <c r="D1994" t="s">
        <v>47</v>
      </c>
      <c r="E1994" t="s">
        <v>47</v>
      </c>
      <c r="F1994" t="s">
        <v>603</v>
      </c>
      <c r="G1994">
        <v>-60750</v>
      </c>
      <c r="H1994" t="s">
        <v>147</v>
      </c>
      <c r="I1994" t="s">
        <v>162</v>
      </c>
    </row>
    <row r="1995" spans="1:9">
      <c r="A1995" s="50">
        <v>45552</v>
      </c>
      <c r="B1995" s="51">
        <v>0.5425925925925926</v>
      </c>
      <c r="C1995" t="s">
        <v>151</v>
      </c>
      <c r="D1995" t="s">
        <v>160</v>
      </c>
      <c r="E1995" t="s">
        <v>47</v>
      </c>
      <c r="F1995" t="s">
        <v>163</v>
      </c>
      <c r="G1995">
        <v>-60746</v>
      </c>
      <c r="H1995" t="s">
        <v>147</v>
      </c>
      <c r="I1995" t="s">
        <v>57</v>
      </c>
    </row>
    <row r="1996" spans="1:9">
      <c r="A1996" s="50">
        <v>45552</v>
      </c>
      <c r="B1996" s="51">
        <v>0.5425925925925926</v>
      </c>
      <c r="C1996" t="s">
        <v>151</v>
      </c>
      <c r="D1996" t="s">
        <v>160</v>
      </c>
      <c r="E1996" t="s">
        <v>47</v>
      </c>
      <c r="F1996" t="s">
        <v>161</v>
      </c>
      <c r="G1996">
        <v>60746</v>
      </c>
      <c r="H1996" t="s">
        <v>147</v>
      </c>
      <c r="I1996" t="s">
        <v>162</v>
      </c>
    </row>
    <row r="1997" spans="1:9">
      <c r="A1997" s="50">
        <v>45552</v>
      </c>
      <c r="B1997" s="51">
        <v>0.4492013888888889</v>
      </c>
      <c r="C1997" t="s">
        <v>145</v>
      </c>
      <c r="D1997" t="s">
        <v>42</v>
      </c>
      <c r="E1997" t="s">
        <v>47</v>
      </c>
      <c r="F1997" t="s">
        <v>512</v>
      </c>
      <c r="G1997">
        <v>-7890</v>
      </c>
      <c r="H1997" t="s">
        <v>147</v>
      </c>
      <c r="I1997" t="s">
        <v>148</v>
      </c>
    </row>
    <row r="1998" spans="1:9">
      <c r="A1998" s="50">
        <v>45550</v>
      </c>
      <c r="B1998" s="51">
        <v>0.8759953703703703</v>
      </c>
      <c r="C1998" t="s">
        <v>145</v>
      </c>
      <c r="D1998" t="s">
        <v>35</v>
      </c>
      <c r="E1998" t="s">
        <v>47</v>
      </c>
      <c r="F1998" t="s">
        <v>197</v>
      </c>
      <c r="G1998">
        <v>-100000</v>
      </c>
      <c r="H1998" t="s">
        <v>147</v>
      </c>
      <c r="I1998" t="s">
        <v>162</v>
      </c>
    </row>
    <row r="1999" spans="1:9">
      <c r="A1999" s="50">
        <v>45550</v>
      </c>
      <c r="B1999" s="51">
        <v>0.8759837962962963</v>
      </c>
      <c r="C1999" t="s">
        <v>151</v>
      </c>
      <c r="D1999" t="s">
        <v>160</v>
      </c>
      <c r="E1999" t="s">
        <v>47</v>
      </c>
      <c r="F1999" t="s">
        <v>163</v>
      </c>
      <c r="G1999">
        <v>-96990</v>
      </c>
      <c r="H1999" t="s">
        <v>147</v>
      </c>
      <c r="I1999" t="s">
        <v>57</v>
      </c>
    </row>
    <row r="2000" spans="1:9">
      <c r="A2000" s="50">
        <v>45550</v>
      </c>
      <c r="B2000" s="51">
        <v>0.8759837962962963</v>
      </c>
      <c r="C2000" t="s">
        <v>151</v>
      </c>
      <c r="D2000" t="s">
        <v>160</v>
      </c>
      <c r="E2000" t="s">
        <v>47</v>
      </c>
      <c r="F2000" t="s">
        <v>161</v>
      </c>
      <c r="G2000">
        <v>96990</v>
      </c>
      <c r="H2000" t="s">
        <v>147</v>
      </c>
      <c r="I2000" t="s">
        <v>162</v>
      </c>
    </row>
    <row r="2001" spans="1:9">
      <c r="A2001" s="50">
        <v>45550</v>
      </c>
      <c r="B2001" s="51">
        <v>0.04711805555555556</v>
      </c>
      <c r="C2001" t="s">
        <v>145</v>
      </c>
      <c r="D2001" t="s">
        <v>42</v>
      </c>
      <c r="E2001" t="s">
        <v>47</v>
      </c>
      <c r="F2001" t="s">
        <v>225</v>
      </c>
      <c r="G2001">
        <v>-1990</v>
      </c>
      <c r="H2001" t="s">
        <v>147</v>
      </c>
      <c r="I2001" t="s">
        <v>154</v>
      </c>
    </row>
    <row r="2002" spans="1:9">
      <c r="A2002" s="50">
        <v>45549</v>
      </c>
      <c r="B2002" s="51">
        <v>0.4790856481481481</v>
      </c>
      <c r="C2002" t="s">
        <v>145</v>
      </c>
      <c r="D2002" t="s">
        <v>34</v>
      </c>
      <c r="E2002" t="s">
        <v>47</v>
      </c>
      <c r="F2002" t="s">
        <v>580</v>
      </c>
      <c r="G2002">
        <v>-8400</v>
      </c>
      <c r="H2002" t="s">
        <v>147</v>
      </c>
      <c r="I2002" t="s">
        <v>148</v>
      </c>
    </row>
    <row r="2003" spans="1:9">
      <c r="A2003" s="50">
        <v>45548</v>
      </c>
      <c r="B2003" s="51">
        <v>0.7054282407407407</v>
      </c>
      <c r="C2003" t="s">
        <v>151</v>
      </c>
      <c r="D2003" t="s">
        <v>151</v>
      </c>
      <c r="E2003" t="s">
        <v>47</v>
      </c>
      <c r="F2003" t="s">
        <v>392</v>
      </c>
      <c r="G2003">
        <v>-130000</v>
      </c>
      <c r="H2003" t="s">
        <v>147</v>
      </c>
      <c r="I2003" t="s">
        <v>57</v>
      </c>
    </row>
    <row r="2004" spans="1:9">
      <c r="A2004" s="50">
        <v>45548</v>
      </c>
      <c r="B2004" s="51">
        <v>0.3797222222222222</v>
      </c>
      <c r="C2004" t="s">
        <v>151</v>
      </c>
      <c r="D2004" t="s">
        <v>160</v>
      </c>
      <c r="E2004" t="s">
        <v>47</v>
      </c>
      <c r="F2004" t="s">
        <v>7</v>
      </c>
      <c r="G2004">
        <v>-100000</v>
      </c>
      <c r="H2004" t="s">
        <v>147</v>
      </c>
      <c r="I2004" t="s">
        <v>57</v>
      </c>
    </row>
    <row r="2005" spans="1:9">
      <c r="A2005" s="50">
        <v>45547</v>
      </c>
      <c r="B2005" s="51">
        <v>0.9646412037037037</v>
      </c>
      <c r="C2005" t="s">
        <v>145</v>
      </c>
      <c r="D2005" t="s">
        <v>42</v>
      </c>
      <c r="E2005" t="s">
        <v>47</v>
      </c>
      <c r="F2005" t="s">
        <v>216</v>
      </c>
      <c r="G2005">
        <v>-29000</v>
      </c>
      <c r="H2005" t="s">
        <v>147</v>
      </c>
      <c r="I2005" t="s">
        <v>148</v>
      </c>
    </row>
    <row r="2006" spans="1:9">
      <c r="A2006" s="50">
        <v>45547</v>
      </c>
      <c r="B2006" s="51">
        <v>0.5819097222222223</v>
      </c>
      <c r="C2006" t="s">
        <v>145</v>
      </c>
      <c r="D2006" t="s">
        <v>41</v>
      </c>
      <c r="E2006" t="s">
        <v>47</v>
      </c>
      <c r="F2006" t="s">
        <v>615</v>
      </c>
      <c r="G2006">
        <v>6352</v>
      </c>
      <c r="H2006" t="s">
        <v>147</v>
      </c>
      <c r="I2006" t="s">
        <v>148</v>
      </c>
    </row>
    <row r="2007" spans="1:9">
      <c r="A2007" s="50">
        <v>45547</v>
      </c>
      <c r="B2007" s="51">
        <v>0.5589467592592593</v>
      </c>
      <c r="C2007" t="s">
        <v>145</v>
      </c>
      <c r="D2007" t="s">
        <v>41</v>
      </c>
      <c r="E2007" t="s">
        <v>47</v>
      </c>
      <c r="F2007" t="s">
        <v>615</v>
      </c>
      <c r="G2007">
        <v>-6352</v>
      </c>
      <c r="H2007" t="s">
        <v>147</v>
      </c>
      <c r="I2007" t="s">
        <v>148</v>
      </c>
    </row>
    <row r="2008" spans="1:9">
      <c r="A2008" s="50">
        <v>45547</v>
      </c>
      <c r="B2008" s="51">
        <v>0.4781365740740741</v>
      </c>
      <c r="C2008" t="s">
        <v>151</v>
      </c>
      <c r="D2008" t="s">
        <v>160</v>
      </c>
      <c r="E2008" t="s">
        <v>47</v>
      </c>
      <c r="F2008" t="s">
        <v>163</v>
      </c>
      <c r="G2008">
        <v>-10000</v>
      </c>
      <c r="H2008" t="s">
        <v>147</v>
      </c>
      <c r="I2008" t="s">
        <v>57</v>
      </c>
    </row>
    <row r="2009" spans="1:9">
      <c r="A2009" s="50">
        <v>45547</v>
      </c>
      <c r="B2009" s="51">
        <v>0.478125</v>
      </c>
      <c r="C2009" t="s">
        <v>151</v>
      </c>
      <c r="D2009" t="s">
        <v>160</v>
      </c>
      <c r="E2009" t="s">
        <v>47</v>
      </c>
      <c r="F2009" t="s">
        <v>161</v>
      </c>
      <c r="G2009">
        <v>10000</v>
      </c>
      <c r="H2009" t="s">
        <v>147</v>
      </c>
      <c r="I2009" t="s">
        <v>162</v>
      </c>
    </row>
    <row r="2010" spans="1:9">
      <c r="A2010" s="50">
        <v>45547</v>
      </c>
      <c r="B2010" s="51">
        <v>0.409224537037037</v>
      </c>
      <c r="C2010" t="s">
        <v>151</v>
      </c>
      <c r="D2010" t="s">
        <v>160</v>
      </c>
      <c r="E2010" t="s">
        <v>47</v>
      </c>
      <c r="F2010" t="s">
        <v>7</v>
      </c>
      <c r="G2010">
        <v>3000000</v>
      </c>
      <c r="H2010" t="s">
        <v>147</v>
      </c>
      <c r="I2010" t="s">
        <v>61</v>
      </c>
    </row>
    <row r="2011" spans="1:9">
      <c r="A2011" s="50">
        <v>45547</v>
      </c>
      <c r="B2011" s="51">
        <v>0.409224537037037</v>
      </c>
      <c r="C2011" t="s">
        <v>151</v>
      </c>
      <c r="D2011" t="s">
        <v>160</v>
      </c>
      <c r="E2011" t="s">
        <v>47</v>
      </c>
      <c r="F2011" t="s">
        <v>7</v>
      </c>
      <c r="G2011">
        <v>-3000000</v>
      </c>
      <c r="H2011" t="s">
        <v>147</v>
      </c>
      <c r="I2011" t="s">
        <v>57</v>
      </c>
    </row>
    <row r="2012" spans="1:9">
      <c r="A2012" s="50">
        <v>45547</v>
      </c>
      <c r="B2012" s="51">
        <v>0.3751273148148148</v>
      </c>
      <c r="C2012" t="s">
        <v>145</v>
      </c>
      <c r="D2012" t="s">
        <v>42</v>
      </c>
      <c r="E2012" t="s">
        <v>47</v>
      </c>
      <c r="F2012" t="s">
        <v>229</v>
      </c>
      <c r="G2012">
        <v>-100000</v>
      </c>
      <c r="H2012" t="s">
        <v>147</v>
      </c>
      <c r="I2012" t="s">
        <v>57</v>
      </c>
    </row>
    <row r="2013" spans="1:9">
      <c r="A2013" s="50">
        <v>45547</v>
      </c>
      <c r="B2013" s="51">
        <v>0.3607175925925926</v>
      </c>
      <c r="C2013" t="s">
        <v>151</v>
      </c>
      <c r="D2013" t="s">
        <v>198</v>
      </c>
      <c r="E2013" t="s">
        <v>47</v>
      </c>
      <c r="F2013" t="s">
        <v>213</v>
      </c>
      <c r="G2013">
        <v>2599600</v>
      </c>
      <c r="H2013" t="s">
        <v>147</v>
      </c>
      <c r="I2013" t="s">
        <v>57</v>
      </c>
    </row>
    <row r="2014" spans="1:9">
      <c r="A2014" s="50">
        <v>45546</v>
      </c>
      <c r="B2014" s="51">
        <v>0.4848611111111111</v>
      </c>
      <c r="C2014" t="s">
        <v>151</v>
      </c>
      <c r="D2014" t="s">
        <v>64</v>
      </c>
      <c r="E2014" t="s">
        <v>47</v>
      </c>
      <c r="F2014" t="s">
        <v>616</v>
      </c>
      <c r="G2014">
        <v>-3867</v>
      </c>
      <c r="H2014" t="s">
        <v>147</v>
      </c>
      <c r="I2014" t="s">
        <v>57</v>
      </c>
    </row>
    <row r="2015" spans="1:9">
      <c r="A2015" s="50">
        <v>45546</v>
      </c>
      <c r="B2015" s="51">
        <v>0.4845949074074074</v>
      </c>
      <c r="C2015" t="s">
        <v>151</v>
      </c>
      <c r="D2015" t="s">
        <v>64</v>
      </c>
      <c r="E2015" t="s">
        <v>47</v>
      </c>
      <c r="F2015" t="s">
        <v>617</v>
      </c>
      <c r="G2015">
        <v>-1248</v>
      </c>
      <c r="H2015" t="s">
        <v>147</v>
      </c>
      <c r="I2015" t="s">
        <v>57</v>
      </c>
    </row>
    <row r="2016" spans="1:9">
      <c r="A2016" s="50">
        <v>45546</v>
      </c>
      <c r="B2016" s="51">
        <v>0.4845833333333333</v>
      </c>
      <c r="C2016" t="s">
        <v>151</v>
      </c>
      <c r="D2016" t="s">
        <v>64</v>
      </c>
      <c r="E2016" t="s">
        <v>47</v>
      </c>
      <c r="F2016" t="s">
        <v>617</v>
      </c>
      <c r="G2016">
        <v>-6243</v>
      </c>
      <c r="H2016" t="s">
        <v>147</v>
      </c>
      <c r="I2016" t="s">
        <v>57</v>
      </c>
    </row>
    <row r="2017" spans="1:9">
      <c r="A2017" s="50">
        <v>45544</v>
      </c>
      <c r="B2017" s="51">
        <v>0.7653356481481481</v>
      </c>
      <c r="C2017" t="s">
        <v>145</v>
      </c>
      <c r="D2017" t="s">
        <v>41</v>
      </c>
      <c r="E2017" t="s">
        <v>47</v>
      </c>
      <c r="F2017" t="s">
        <v>157</v>
      </c>
      <c r="G2017">
        <v>-19800</v>
      </c>
      <c r="H2017" t="s">
        <v>147</v>
      </c>
      <c r="I2017" t="s">
        <v>57</v>
      </c>
    </row>
    <row r="2018" spans="1:9">
      <c r="A2018" s="50">
        <v>45544</v>
      </c>
      <c r="B2018" s="51">
        <v>0.5186342592592592</v>
      </c>
      <c r="C2018" t="s">
        <v>145</v>
      </c>
      <c r="D2018" t="s">
        <v>41</v>
      </c>
      <c r="E2018" t="s">
        <v>47</v>
      </c>
      <c r="F2018" t="s">
        <v>618</v>
      </c>
      <c r="G2018">
        <v>-3857</v>
      </c>
      <c r="H2018" t="s">
        <v>147</v>
      </c>
      <c r="I201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2025-09-09T10:15:44Z</dcterms:created>
  <dcterms:modified xsi:type="dcterms:W3CDTF">2025-09-09T10:15:44Z</dcterms:modified>
</cp:coreProperties>
</file>