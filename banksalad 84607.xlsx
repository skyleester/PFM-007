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hocheon/Documents/Studies/code/Personal Finance Manager Projects/005/"/>
    </mc:Choice>
  </mc:AlternateContent>
  <xr:revisionPtr revIDLastSave="0" documentId="13_ncr:1_{4BB19C28-318F-4144-8229-8D8B99166655}" xr6:coauthVersionLast="47" xr6:coauthVersionMax="47" xr10:uidLastSave="{00000000-0000-0000-0000-000000000000}"/>
  <bookViews>
    <workbookView xWindow="0" yWindow="880" windowWidth="36000" windowHeight="22500" activeTab="1" xr2:uid="{00000000-000D-0000-FFFF-FFFF00000000}"/>
  </bookViews>
  <sheets>
    <sheet name="뱅샐현황" sheetId="1" r:id="rId1"/>
    <sheet name="가계부 내역" sheetId="2" r:id="rId2"/>
  </sheets>
  <definedNames>
    <definedName name="_xlnm._FilterDatabase" localSheetId="1" hidden="1">'가계부 내역'!$A$1:$J$202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4" i="1" l="1"/>
  <c r="F114" i="1"/>
  <c r="D114" i="1"/>
  <c r="H104" i="1"/>
  <c r="G104" i="1"/>
  <c r="F104" i="1"/>
  <c r="F87" i="1"/>
  <c r="I76" i="1"/>
  <c r="E76" i="1"/>
  <c r="B78" i="1" s="1"/>
  <c r="Q33" i="1"/>
  <c r="P33" i="1"/>
  <c r="M33" i="1"/>
  <c r="L33" i="1"/>
  <c r="F33" i="1"/>
  <c r="E33" i="1"/>
  <c r="Q32" i="1"/>
  <c r="P32" i="1"/>
  <c r="O32" i="1"/>
  <c r="N32" i="1"/>
  <c r="M32" i="1"/>
  <c r="L32" i="1"/>
  <c r="K32" i="1"/>
  <c r="J32" i="1"/>
  <c r="I32" i="1"/>
  <c r="H32" i="1"/>
  <c r="G32" i="1"/>
  <c r="C32" i="1" s="1"/>
  <c r="D32" i="1" s="1"/>
  <c r="F32" i="1"/>
  <c r="E32" i="1"/>
  <c r="C31" i="1"/>
  <c r="D31" i="1" s="1"/>
  <c r="C30" i="1"/>
  <c r="D30" i="1" s="1"/>
  <c r="C29" i="1"/>
  <c r="D29" i="1" s="1"/>
  <c r="C28" i="1"/>
  <c r="D28" i="1" s="1"/>
  <c r="C27" i="1"/>
  <c r="D27" i="1" s="1"/>
  <c r="C26" i="1"/>
  <c r="D26" i="1" s="1"/>
  <c r="C25" i="1"/>
  <c r="D25" i="1" s="1"/>
  <c r="C24" i="1"/>
  <c r="D24" i="1" s="1"/>
  <c r="C23" i="1"/>
  <c r="D23" i="1" s="1"/>
  <c r="C22" i="1"/>
  <c r="D22" i="1" s="1"/>
  <c r="C21" i="1"/>
  <c r="D21" i="1" s="1"/>
  <c r="C20" i="1"/>
  <c r="D20" i="1" s="1"/>
  <c r="C19" i="1"/>
  <c r="D19" i="1" s="1"/>
  <c r="C18" i="1"/>
  <c r="D18" i="1" s="1"/>
  <c r="C17" i="1"/>
  <c r="D17" i="1" s="1"/>
  <c r="C16" i="1"/>
  <c r="D16" i="1" s="1"/>
  <c r="C15" i="1"/>
  <c r="D15" i="1" s="1"/>
  <c r="Q14" i="1"/>
  <c r="P14" i="1"/>
  <c r="O14" i="1"/>
  <c r="O33" i="1" s="1"/>
  <c r="N14" i="1"/>
  <c r="N33" i="1" s="1"/>
  <c r="M14" i="1"/>
  <c r="L14" i="1"/>
  <c r="K14" i="1"/>
  <c r="K33" i="1" s="1"/>
  <c r="J14" i="1"/>
  <c r="J33" i="1" s="1"/>
  <c r="I14" i="1"/>
  <c r="I33" i="1" s="1"/>
  <c r="H14" i="1"/>
  <c r="H33" i="1" s="1"/>
  <c r="G14" i="1"/>
  <c r="F14" i="1"/>
  <c r="E14" i="1"/>
  <c r="C14" i="1" s="1"/>
  <c r="D14" i="1" s="1"/>
  <c r="C13" i="1"/>
  <c r="D13" i="1" s="1"/>
  <c r="C12" i="1"/>
  <c r="D12" i="1" s="1"/>
  <c r="G33" i="1" l="1"/>
  <c r="C33" i="1" s="1"/>
  <c r="D33" i="1" s="1"/>
</calcChain>
</file>

<file path=xl/sharedStrings.xml><?xml version="1.0" encoding="utf-8"?>
<sst xmlns="http://schemas.openxmlformats.org/spreadsheetml/2006/main" count="1421" uniqueCount="206">
  <si>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</si>
  <si>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</si>
  <si>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</si>
  <si>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</si>
  <si>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</si>
  <si>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</si>
  <si>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</si>
  <si>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이호천</t>
  </si>
  <si>
    <t>남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</si>
  <si>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</si>
  <si>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</si>
  <si>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</si>
  <si>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</si>
  <si>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</si>
  <si>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</si>
  <si>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</si>
  <si>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</si>
  <si>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</si>
  <si>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</si>
  <si>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</si>
  <si>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</si>
  <si>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</si>
  <si>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</si>
  <si>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</si>
  <si>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</si>
  <si>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</si>
  <si>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</si>
  <si>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</si>
  <si>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금융수입</t>
  </si>
  <si>
    <t>급여</t>
  </si>
  <si>
    <t>월수입 총계</t>
  </si>
  <si>
    <t>경조/선물</t>
  </si>
  <si>
    <t>교육/학습</t>
  </si>
  <si>
    <t>교통</t>
  </si>
  <si>
    <t>금융</t>
  </si>
  <si>
    <t>문화/여가</t>
  </si>
  <si>
    <t>반려동물</t>
  </si>
  <si>
    <t>뷰티/미용</t>
  </si>
  <si>
    <t>생활</t>
  </si>
  <si>
    <t>술/유흥</t>
  </si>
  <si>
    <t>식비</t>
  </si>
  <si>
    <t>여행/숙박</t>
  </si>
  <si>
    <t>온라인쇼핑</t>
  </si>
  <si>
    <t>의료/건강</t>
  </si>
  <si>
    <t>자동차</t>
  </si>
  <si>
    <t>주거/통신</t>
  </si>
  <si>
    <t>카페/간식</t>
  </si>
  <si>
    <t>패션/쇼핑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</si>
  <si>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</si>
  <si>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</si>
  <si>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</si>
  <si>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</si>
  <si>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</si>
  <si>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</si>
  <si>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</si>
  <si>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</si>
  <si>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</si>
  <si>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MY 입출금통장</t>
  </si>
  <si>
    <t>급여 하나 통장</t>
  </si>
  <si>
    <t>농협1</t>
  </si>
  <si>
    <t>농협2</t>
  </si>
  <si>
    <t>보통예금(IBK나라사랑통장)</t>
  </si>
  <si>
    <t>신한 주거래 우대통장(저축예금)</t>
  </si>
  <si>
    <t>저축예금(학생증)</t>
  </si>
  <si>
    <t>저축예금30007</t>
  </si>
  <si>
    <t>저축예금84607</t>
  </si>
  <si>
    <t>신탁 자산</t>
  </si>
  <si>
    <t>현금 자산</t>
  </si>
  <si>
    <t>현금</t>
  </si>
  <si>
    <t>저축성 자산</t>
  </si>
  <si>
    <t>마이홈플랜 주택청약 종합저축</t>
  </si>
  <si>
    <t>전자금융 자산</t>
  </si>
  <si>
    <t>네이버페이 머니 - smc6****</t>
  </si>
  <si>
    <t>카카오페이 머니 - 010*****131</t>
  </si>
  <si>
    <t>토스머니</t>
  </si>
  <si>
    <t>페이코포인트 - ko******@gmail.com</t>
  </si>
  <si>
    <t>투자성 자산</t>
  </si>
  <si>
    <t>WisdomTree Dynamic Currency Intl ETF</t>
  </si>
  <si>
    <t>와이어하우저</t>
  </si>
  <si>
    <t>진양폴리</t>
  </si>
  <si>
    <t>아이셰어즈 0-3개월 미국 국채 ETF</t>
  </si>
  <si>
    <t>경남제약</t>
  </si>
  <si>
    <t>피앤씨테크</t>
  </si>
  <si>
    <t>NICE인프라</t>
  </si>
  <si>
    <t>신성이엔지</t>
  </si>
  <si>
    <t>QV CMA계좌</t>
  </si>
  <si>
    <t>QV종합매매</t>
  </si>
  <si>
    <t>위탁</t>
  </si>
  <si>
    <t>부동산</t>
  </si>
  <si>
    <t>동산</t>
  </si>
  <si>
    <t>기타 실물 자산</t>
  </si>
  <si>
    <t>보험 자산</t>
  </si>
  <si>
    <t>무배당현대해상다이렉트운전자보험(Hi2211)자가용(프리미엄플랜)</t>
  </si>
  <si>
    <t>Hicar 개인용(CM)</t>
  </si>
  <si>
    <t>연금 자산</t>
  </si>
  <si>
    <t>장기대출</t>
  </si>
  <si>
    <t>하나은행 마이너스 통장</t>
  </si>
  <si>
    <t>2015년 2학기 취업후상환학자금_생활비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</si>
  <si>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</si>
  <si>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</si>
  <si>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</si>
  <si>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</si>
  <si>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</si>
  <si>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</si>
  <si>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</si>
  <si>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</si>
  <si>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</si>
  <si>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</si>
  <si>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</si>
  <si>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현대해상</t>
  </si>
  <si>
    <t>정상</t>
  </si>
  <si>
    <t>보유계약건수</t>
  </si>
  <si>
    <t>정상 2건</t>
  </si>
  <si>
    <t>총 납입금</t>
  </si>
  <si>
    <t>총 2건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</si>
  <si>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</si>
  <si>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</si>
  <si>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</si>
  <si>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</si>
  <si>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</si>
  <si>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</si>
  <si>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</si>
  <si>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</si>
  <si>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</si>
  <si>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NH투자증권</t>
  </si>
  <si>
    <t>토스증권</t>
  </si>
  <si>
    <t>보유상품개수</t>
  </si>
  <si>
    <t>총 투자 원금</t>
  </si>
  <si>
    <t>총 평가 금액</t>
  </si>
  <si>
    <t>총 수익률</t>
  </si>
  <si>
    <t>총 11개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</si>
  <si>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</si>
  <si>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</si>
  <si>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</si>
  <si>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</si>
  <si>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</si>
  <si>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</si>
  <si>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</si>
  <si>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</si>
  <si>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은행 대출</t>
  </si>
  <si>
    <t>하나은행</t>
  </si>
  <si>
    <t>한국장학재단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</si>
  <si>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</si>
  <si>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</si>
  <si>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</si>
  <si>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</si>
  <si>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</si>
  <si>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</si>
  <si>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</si>
  <si>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</si>
  <si>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</si>
  <si>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</si>
  <si>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</si>
  <si>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</si>
  <si>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</si>
  <si>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KRW</t>
  </si>
  <si>
    <t>이체</t>
  </si>
  <si>
    <t>내계좌이체</t>
  </si>
  <si>
    <t>미분류</t>
  </si>
  <si>
    <t>카카오페이</t>
  </si>
  <si>
    <t>송파시그니처롯데캐슬입주자대표회의</t>
  </si>
  <si>
    <t>윤지수</t>
  </si>
  <si>
    <t>보험</t>
  </si>
  <si>
    <t>방지원</t>
  </si>
  <si>
    <t>증권/투자</t>
  </si>
  <si>
    <t>KT8792013108</t>
  </si>
  <si>
    <t>수입</t>
  </si>
  <si>
    <t>이호천서울주민</t>
  </si>
  <si>
    <t>박순애</t>
  </si>
  <si>
    <t>대출결산이자</t>
  </si>
  <si>
    <t>항공권</t>
  </si>
  <si>
    <t>KT8792013107</t>
  </si>
  <si>
    <t>생활서비스</t>
  </si>
  <si>
    <t>KT8792013106</t>
  </si>
  <si>
    <t>39198006862642-00001</t>
  </si>
  <si>
    <t>입금 내역</t>
  </si>
  <si>
    <t>한식</t>
  </si>
  <si>
    <t>패션</t>
  </si>
  <si>
    <t>KT8792013105</t>
  </si>
  <si>
    <t>은행</t>
  </si>
  <si>
    <t>환전지갑신청(0996CCS255413078)</t>
  </si>
  <si>
    <t>김동우</t>
  </si>
  <si>
    <t>경조사</t>
  </si>
  <si>
    <t>김공예</t>
  </si>
  <si>
    <t>김해만</t>
  </si>
  <si>
    <t>박서윤</t>
  </si>
  <si>
    <t>박영선 (울싸15)</t>
  </si>
  <si>
    <t>53HN권성희</t>
  </si>
  <si>
    <t>조윤경(결혼축하해)</t>
  </si>
  <si>
    <t>종로구52가6863이호천</t>
  </si>
  <si>
    <t>KT8792013104</t>
  </si>
  <si>
    <t>KT8792013103</t>
  </si>
  <si>
    <t>이근복</t>
  </si>
  <si>
    <t>KT8792013102</t>
  </si>
  <si>
    <t>이동근</t>
  </si>
  <si>
    <t>KT8792013101</t>
  </si>
  <si>
    <t>사학연금대여</t>
  </si>
  <si>
    <t>이호천 (SH)</t>
  </si>
  <si>
    <t>현대해상11-003</t>
  </si>
  <si>
    <t>KT8792013112</t>
  </si>
  <si>
    <t>(주)지니어스에스티</t>
  </si>
  <si>
    <t>윤지원</t>
  </si>
  <si>
    <t>(주)새미쥬얼리</t>
  </si>
  <si>
    <t>KT8792013111</t>
  </si>
  <si>
    <t>KT8792013110</t>
  </si>
  <si>
    <t>KT8792013109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</si>
</sst>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#,##0.00\ &quot;%&quot;\ "/>
    <numFmt numFmtId="178" formatCode="hh:mm"/>
  </numFmts>
  <fonts count="5">
    <font>
      <sz val="11"/>
      <color theme="1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3" fontId="0" fillId="0" borderId="7" xfId="0" applyNumberFormat="1" applyBorder="1"/>
    <xf numFmtId="0" fontId="2" fillId="4" borderId="3" xfId="0" applyFont="1" applyFill="1" applyBorder="1" applyAlignment="1">
      <alignment horizontal="center" vertical="center"/>
    </xf>
    <xf numFmtId="3" fontId="2" fillId="5" borderId="4" xfId="0" applyNumberFormat="1" applyFont="1" applyFill="1" applyBorder="1"/>
    <xf numFmtId="0" fontId="3" fillId="6" borderId="8" xfId="0" applyFont="1" applyFill="1" applyBorder="1" applyAlignment="1">
      <alignment horizontal="center" vertical="center"/>
    </xf>
    <xf numFmtId="3" fontId="2" fillId="7" borderId="9" xfId="0" applyNumberFormat="1" applyFont="1" applyFill="1" applyBorder="1"/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3" fontId="0" fillId="0" borderId="13" xfId="0" applyNumberFormat="1" applyBorder="1"/>
    <xf numFmtId="3" fontId="0" fillId="0" borderId="14" xfId="0" applyNumberFormat="1" applyBorder="1"/>
    <xf numFmtId="0" fontId="0" fillId="0" borderId="14" xfId="0" applyBorder="1"/>
    <xf numFmtId="3" fontId="2" fillId="8" borderId="13" xfId="0" applyNumberFormat="1" applyFont="1" applyFill="1" applyBorder="1"/>
    <xf numFmtId="3" fontId="2" fillId="8" borderId="14" xfId="0" applyNumberFormat="1" applyFont="1" applyFill="1" applyBorder="1"/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3" fontId="0" fillId="0" borderId="19" xfId="0" applyNumberFormat="1" applyBorder="1"/>
    <xf numFmtId="176" fontId="0" fillId="0" borderId="7" xfId="0" applyNumberFormat="1" applyBorder="1"/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3" fontId="2" fillId="7" borderId="22" xfId="0" applyNumberFormat="1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4" fontId="0" fillId="0" borderId="19" xfId="0" applyNumberFormat="1" applyBorder="1"/>
    <xf numFmtId="177" fontId="2" fillId="7" borderId="22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76" fontId="0" fillId="0" borderId="0" xfId="0" applyNumberFormat="1"/>
    <xf numFmtId="178" fontId="0" fillId="0" borderId="0" xfId="0" applyNumberFormat="1"/>
    <xf numFmtId="0" fontId="2" fillId="2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0" fontId="2" fillId="0" borderId="13" xfId="0" applyFont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center" vertical="center"/>
    </xf>
    <xf numFmtId="3" fontId="2" fillId="8" borderId="16" xfId="0" applyNumberFormat="1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7" xfId="0" applyBorder="1"/>
    <xf numFmtId="3" fontId="3" fillId="6" borderId="8" xfId="0" applyNumberFormat="1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3" fontId="3" fillId="9" borderId="8" xfId="0" applyNumberFormat="1" applyFont="1" applyFill="1" applyBorder="1" applyAlignment="1">
      <alignment horizontal="center" vertical="center"/>
    </xf>
    <xf numFmtId="3" fontId="2" fillId="7" borderId="22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Q114"/>
  <sheetViews>
    <sheetView workbookViewId="0"/>
  </sheetViews>
  <sheetFormatPr baseColWidth="10" defaultColWidth="8.83203125" defaultRowHeight="17"/>
  <cols>
    <col min="1" max="1" width="2.6640625" customWidth="1"/>
    <col min="2" max="18" width="16.6640625" customWidth="1"/>
  </cols>
  <sheetData>
    <row r="3" spans="2:17" ht="20">
      <c r="B3" s="1" t="s">
        <v>0</v>
      </c>
    </row>
    <row r="4" spans="2:17">
      <c r="B4" t="s">
        <v>1</v>
      </c>
    </row>
    <row r="5" spans="2:17">
      <c r="B5" s="2" t="s">
        <v>2</v>
      </c>
      <c r="C5" s="3" t="s">
        <v>3</v>
      </c>
      <c r="D5" s="3" t="s">
        <v>4</v>
      </c>
      <c r="E5" s="3" t="s">
        <v>5</v>
      </c>
      <c r="F5" s="43" t="s">
        <v>6</v>
      </c>
      <c r="G5" s="43"/>
    </row>
    <row r="6" spans="2:17">
      <c r="B6" s="4" t="s">
        <v>7</v>
      </c>
      <c r="C6" s="5" t="s">
        <v>8</v>
      </c>
      <c r="D6" s="5">
        <v>33</v>
      </c>
      <c r="E6" s="5">
        <v>994</v>
      </c>
      <c r="F6" s="44" t="s">
        <v>9</v>
      </c>
      <c r="G6" s="44"/>
    </row>
    <row r="9" spans="2:17" ht="20">
      <c r="B9" s="1" t="s">
        <v>10</v>
      </c>
    </row>
    <row r="10" spans="2:17">
      <c r="B10" t="s">
        <v>11</v>
      </c>
    </row>
    <row r="11" spans="2:17">
      <c r="B11" s="6" t="s">
        <v>12</v>
      </c>
      <c r="C11" s="7" t="s">
        <v>13</v>
      </c>
      <c r="D11" s="7" t="s">
        <v>14</v>
      </c>
      <c r="E11" s="8" t="s">
        <v>15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 t="s">
        <v>25</v>
      </c>
      <c r="P11" s="8" t="s">
        <v>26</v>
      </c>
      <c r="Q11" s="8" t="s">
        <v>27</v>
      </c>
    </row>
    <row r="12" spans="2:17">
      <c r="B12" s="9" t="s">
        <v>28</v>
      </c>
      <c r="C12" s="10">
        <f t="shared" ref="C12:C33" si="0">SUM(E12:Q12)</f>
        <v>52</v>
      </c>
      <c r="D12" s="10">
        <f t="shared" ref="D12:D33" si="1">C12/13</f>
        <v>4</v>
      </c>
      <c r="E12" s="10">
        <v>5</v>
      </c>
      <c r="F12" s="10">
        <v>4</v>
      </c>
      <c r="G12" s="10">
        <v>4</v>
      </c>
      <c r="H12" s="10">
        <v>5</v>
      </c>
      <c r="I12" s="10">
        <v>4</v>
      </c>
      <c r="J12" s="10">
        <v>4</v>
      </c>
      <c r="K12" s="10">
        <v>4</v>
      </c>
      <c r="L12" s="10">
        <v>5</v>
      </c>
      <c r="M12" s="10">
        <v>4</v>
      </c>
      <c r="N12" s="10">
        <v>5</v>
      </c>
      <c r="O12" s="10">
        <v>4</v>
      </c>
      <c r="P12" s="10">
        <v>4</v>
      </c>
      <c r="Q12" s="10">
        <v>0</v>
      </c>
    </row>
    <row r="13" spans="2:17">
      <c r="B13" s="9" t="s">
        <v>29</v>
      </c>
      <c r="C13" s="10">
        <f t="shared" si="0"/>
        <v>8650000</v>
      </c>
      <c r="D13" s="10">
        <f t="shared" si="1"/>
        <v>665384.61538461538</v>
      </c>
      <c r="E13" s="10">
        <v>0</v>
      </c>
      <c r="F13" s="10">
        <v>0</v>
      </c>
      <c r="G13" s="10">
        <v>0</v>
      </c>
      <c r="H13" s="10">
        <v>0</v>
      </c>
      <c r="I13" s="10">
        <v>8500000</v>
      </c>
      <c r="J13" s="10">
        <v>0</v>
      </c>
      <c r="K13" s="10">
        <v>0</v>
      </c>
      <c r="L13" s="10">
        <v>0</v>
      </c>
      <c r="M13" s="10">
        <v>150000</v>
      </c>
      <c r="N13" s="10">
        <v>0</v>
      </c>
      <c r="O13" s="10">
        <v>0</v>
      </c>
      <c r="P13" s="10">
        <v>0</v>
      </c>
      <c r="Q13" s="10">
        <v>0</v>
      </c>
    </row>
    <row r="14" spans="2:17">
      <c r="B14" s="11" t="s">
        <v>30</v>
      </c>
      <c r="C14" s="12">
        <f t="shared" si="0"/>
        <v>8650052</v>
      </c>
      <c r="D14" s="12">
        <f t="shared" si="1"/>
        <v>665388.61538461538</v>
      </c>
      <c r="E14" s="12">
        <f t="shared" ref="E14:Q14" si="2">SUM(E12:E13)</f>
        <v>5</v>
      </c>
      <c r="F14" s="12">
        <f t="shared" si="2"/>
        <v>4</v>
      </c>
      <c r="G14" s="12">
        <f t="shared" si="2"/>
        <v>4</v>
      </c>
      <c r="H14" s="12">
        <f t="shared" si="2"/>
        <v>5</v>
      </c>
      <c r="I14" s="12">
        <f t="shared" si="2"/>
        <v>8500004</v>
      </c>
      <c r="J14" s="12">
        <f t="shared" si="2"/>
        <v>4</v>
      </c>
      <c r="K14" s="12">
        <f t="shared" si="2"/>
        <v>4</v>
      </c>
      <c r="L14" s="12">
        <f t="shared" si="2"/>
        <v>5</v>
      </c>
      <c r="M14" s="12">
        <f t="shared" si="2"/>
        <v>150004</v>
      </c>
      <c r="N14" s="12">
        <f t="shared" si="2"/>
        <v>5</v>
      </c>
      <c r="O14" s="12">
        <f t="shared" si="2"/>
        <v>4</v>
      </c>
      <c r="P14" s="12">
        <f t="shared" si="2"/>
        <v>4</v>
      </c>
      <c r="Q14" s="12">
        <f t="shared" si="2"/>
        <v>0</v>
      </c>
    </row>
    <row r="15" spans="2:17">
      <c r="B15" s="9" t="s">
        <v>31</v>
      </c>
      <c r="C15" s="10">
        <f t="shared" si="0"/>
        <v>8938048</v>
      </c>
      <c r="D15" s="10">
        <f t="shared" si="1"/>
        <v>687542.15384615387</v>
      </c>
      <c r="E15" s="10">
        <v>2000</v>
      </c>
      <c r="F15" s="10">
        <v>2000</v>
      </c>
      <c r="G15" s="10">
        <v>3000</v>
      </c>
      <c r="H15" s="10">
        <v>2000</v>
      </c>
      <c r="I15" s="10">
        <v>2000</v>
      </c>
      <c r="J15" s="10">
        <v>2000</v>
      </c>
      <c r="K15" s="10">
        <v>2000</v>
      </c>
      <c r="L15" s="10">
        <v>2000</v>
      </c>
      <c r="M15" s="10">
        <v>2000</v>
      </c>
      <c r="N15" s="10">
        <v>8915048</v>
      </c>
      <c r="O15" s="10">
        <v>2000</v>
      </c>
      <c r="P15" s="10">
        <v>2000</v>
      </c>
      <c r="Q15" s="10">
        <v>0</v>
      </c>
    </row>
    <row r="16" spans="2:17">
      <c r="B16" s="9" t="s">
        <v>32</v>
      </c>
      <c r="C16" s="10">
        <f t="shared" si="0"/>
        <v>141100</v>
      </c>
      <c r="D16" s="10">
        <f t="shared" si="1"/>
        <v>10853.846153846154</v>
      </c>
      <c r="E16" s="10">
        <v>0</v>
      </c>
      <c r="F16" s="10">
        <v>101100</v>
      </c>
      <c r="G16" s="10">
        <v>0</v>
      </c>
      <c r="H16" s="10">
        <v>40000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</row>
    <row r="17" spans="2:17">
      <c r="B17" s="9" t="s">
        <v>33</v>
      </c>
      <c r="C17" s="10">
        <f t="shared" si="0"/>
        <v>551500</v>
      </c>
      <c r="D17" s="10">
        <f t="shared" si="1"/>
        <v>42423.076923076922</v>
      </c>
      <c r="E17" s="10">
        <v>0</v>
      </c>
      <c r="F17" s="10">
        <v>57100</v>
      </c>
      <c r="G17" s="10">
        <v>237500</v>
      </c>
      <c r="H17" s="10">
        <v>0</v>
      </c>
      <c r="I17" s="10">
        <v>33800</v>
      </c>
      <c r="J17" s="10">
        <v>84600</v>
      </c>
      <c r="K17" s="10">
        <v>88600</v>
      </c>
      <c r="L17" s="10">
        <v>28300</v>
      </c>
      <c r="M17" s="10">
        <v>6400</v>
      </c>
      <c r="N17" s="10">
        <v>0</v>
      </c>
      <c r="O17" s="10">
        <v>0</v>
      </c>
      <c r="P17" s="10">
        <v>15200</v>
      </c>
      <c r="Q17" s="10">
        <v>0</v>
      </c>
    </row>
    <row r="18" spans="2:17">
      <c r="B18" s="9" t="s">
        <v>34</v>
      </c>
      <c r="C18" s="10">
        <f t="shared" si="0"/>
        <v>7421225</v>
      </c>
      <c r="D18" s="10">
        <f t="shared" si="1"/>
        <v>570863.4615384615</v>
      </c>
      <c r="E18" s="10">
        <v>4000</v>
      </c>
      <c r="F18" s="10">
        <v>131140</v>
      </c>
      <c r="G18" s="10">
        <v>123360</v>
      </c>
      <c r="H18" s="10">
        <v>4520570</v>
      </c>
      <c r="I18" s="10">
        <v>170360</v>
      </c>
      <c r="J18" s="10">
        <v>141590</v>
      </c>
      <c r="K18" s="10">
        <v>173500</v>
      </c>
      <c r="L18" s="10">
        <v>138840</v>
      </c>
      <c r="M18" s="10">
        <v>1298175</v>
      </c>
      <c r="N18" s="10">
        <v>606540</v>
      </c>
      <c r="O18" s="10">
        <v>0</v>
      </c>
      <c r="P18" s="10">
        <v>113150</v>
      </c>
      <c r="Q18" s="10">
        <v>0</v>
      </c>
    </row>
    <row r="19" spans="2:17">
      <c r="B19" s="9" t="s">
        <v>35</v>
      </c>
      <c r="C19" s="10">
        <f t="shared" si="0"/>
        <v>756880</v>
      </c>
      <c r="D19" s="10">
        <f t="shared" si="1"/>
        <v>58221.538461538461</v>
      </c>
      <c r="E19" s="10">
        <v>0</v>
      </c>
      <c r="F19" s="10">
        <v>196000</v>
      </c>
      <c r="G19" s="10">
        <v>98000</v>
      </c>
      <c r="H19" s="10">
        <v>35500</v>
      </c>
      <c r="I19" s="10">
        <v>0</v>
      </c>
      <c r="J19" s="10">
        <v>990</v>
      </c>
      <c r="K19" s="10">
        <v>145390</v>
      </c>
      <c r="L19" s="10">
        <v>60990</v>
      </c>
      <c r="M19" s="10">
        <v>37490</v>
      </c>
      <c r="N19" s="10">
        <v>990</v>
      </c>
      <c r="O19" s="10">
        <v>40990</v>
      </c>
      <c r="P19" s="10">
        <v>89450</v>
      </c>
      <c r="Q19" s="10">
        <v>51090</v>
      </c>
    </row>
    <row r="20" spans="2:17">
      <c r="B20" s="9" t="s">
        <v>36</v>
      </c>
      <c r="C20" s="10">
        <f t="shared" si="0"/>
        <v>34700</v>
      </c>
      <c r="D20" s="10">
        <f t="shared" si="1"/>
        <v>2669.2307692307691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34700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</row>
    <row r="21" spans="2:17">
      <c r="B21" s="9" t="s">
        <v>37</v>
      </c>
      <c r="C21" s="10">
        <f t="shared" si="0"/>
        <v>656400</v>
      </c>
      <c r="D21" s="10">
        <f t="shared" si="1"/>
        <v>50492.307692307695</v>
      </c>
      <c r="E21" s="10">
        <v>22000</v>
      </c>
      <c r="F21" s="10">
        <v>98900</v>
      </c>
      <c r="G21" s="10">
        <v>0</v>
      </c>
      <c r="H21" s="10">
        <v>96500</v>
      </c>
      <c r="I21" s="10">
        <v>0</v>
      </c>
      <c r="J21" s="10">
        <v>22000</v>
      </c>
      <c r="K21" s="10">
        <v>22000</v>
      </c>
      <c r="L21" s="10">
        <v>274500</v>
      </c>
      <c r="M21" s="10">
        <v>76500</v>
      </c>
      <c r="N21" s="10">
        <v>0</v>
      </c>
      <c r="O21" s="10">
        <v>22000</v>
      </c>
      <c r="P21" s="10">
        <v>22000</v>
      </c>
      <c r="Q21" s="10">
        <v>0</v>
      </c>
    </row>
    <row r="22" spans="2:17">
      <c r="B22" s="9" t="s">
        <v>38</v>
      </c>
      <c r="C22" s="10">
        <f t="shared" si="0"/>
        <v>5690710</v>
      </c>
      <c r="D22" s="10">
        <f t="shared" si="1"/>
        <v>437746.92307692306</v>
      </c>
      <c r="E22" s="10">
        <v>382790</v>
      </c>
      <c r="F22" s="10">
        <v>301700</v>
      </c>
      <c r="G22" s="10">
        <v>429580</v>
      </c>
      <c r="H22" s="10">
        <v>804110</v>
      </c>
      <c r="I22" s="10">
        <v>348370</v>
      </c>
      <c r="J22" s="10">
        <v>533550</v>
      </c>
      <c r="K22" s="10">
        <v>650960</v>
      </c>
      <c r="L22" s="10">
        <v>257330</v>
      </c>
      <c r="M22" s="10">
        <v>295900</v>
      </c>
      <c r="N22" s="10">
        <v>220430</v>
      </c>
      <c r="O22" s="10">
        <v>630220</v>
      </c>
      <c r="P22" s="10">
        <v>819670</v>
      </c>
      <c r="Q22" s="10">
        <v>16100</v>
      </c>
    </row>
    <row r="23" spans="2:17">
      <c r="B23" s="9" t="s">
        <v>39</v>
      </c>
      <c r="C23" s="10">
        <f t="shared" si="0"/>
        <v>240000</v>
      </c>
      <c r="D23" s="10">
        <f t="shared" si="1"/>
        <v>18461.538461538461</v>
      </c>
      <c r="E23" s="10">
        <v>0</v>
      </c>
      <c r="F23" s="10">
        <v>75100</v>
      </c>
      <c r="G23" s="10">
        <v>0</v>
      </c>
      <c r="H23" s="10">
        <v>0</v>
      </c>
      <c r="I23" s="10">
        <v>0</v>
      </c>
      <c r="J23" s="10">
        <v>0</v>
      </c>
      <c r="K23" s="10">
        <v>60900</v>
      </c>
      <c r="L23" s="10">
        <v>104000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</row>
    <row r="24" spans="2:17">
      <c r="B24" s="9" t="s">
        <v>40</v>
      </c>
      <c r="C24" s="10">
        <f t="shared" si="0"/>
        <v>18496740</v>
      </c>
      <c r="D24" s="10">
        <f t="shared" si="1"/>
        <v>1422826.1538461538</v>
      </c>
      <c r="E24" s="10">
        <v>754389</v>
      </c>
      <c r="F24" s="10">
        <v>1158299</v>
      </c>
      <c r="G24" s="10">
        <v>1295699</v>
      </c>
      <c r="H24" s="10">
        <v>1009259</v>
      </c>
      <c r="I24" s="10">
        <v>692130</v>
      </c>
      <c r="J24" s="10">
        <v>751224</v>
      </c>
      <c r="K24" s="10">
        <v>757810</v>
      </c>
      <c r="L24" s="10">
        <v>1841710</v>
      </c>
      <c r="M24" s="10">
        <v>9309110</v>
      </c>
      <c r="N24" s="10">
        <v>669510</v>
      </c>
      <c r="O24" s="10">
        <v>119600</v>
      </c>
      <c r="P24" s="10">
        <v>138000</v>
      </c>
      <c r="Q24" s="10">
        <v>0</v>
      </c>
    </row>
    <row r="25" spans="2:17">
      <c r="B25" s="9" t="s">
        <v>41</v>
      </c>
      <c r="C25" s="10">
        <f t="shared" si="0"/>
        <v>5759773</v>
      </c>
      <c r="D25" s="10">
        <f t="shared" si="1"/>
        <v>443059.46153846156</v>
      </c>
      <c r="E25" s="10">
        <v>524459</v>
      </c>
      <c r="F25" s="10">
        <v>1594753</v>
      </c>
      <c r="G25" s="10">
        <v>588883</v>
      </c>
      <c r="H25" s="10">
        <v>380452</v>
      </c>
      <c r="I25" s="10">
        <v>232700</v>
      </c>
      <c r="J25" s="10">
        <v>0</v>
      </c>
      <c r="K25" s="10">
        <v>254482</v>
      </c>
      <c r="L25" s="10">
        <v>0</v>
      </c>
      <c r="M25" s="10">
        <v>1445098</v>
      </c>
      <c r="N25" s="10">
        <v>481696</v>
      </c>
      <c r="O25" s="10">
        <v>111150</v>
      </c>
      <c r="P25" s="10">
        <v>146100</v>
      </c>
      <c r="Q25" s="10">
        <v>0</v>
      </c>
    </row>
    <row r="26" spans="2:17">
      <c r="B26" s="9" t="s">
        <v>42</v>
      </c>
      <c r="C26" s="10">
        <f t="shared" si="0"/>
        <v>3742314</v>
      </c>
      <c r="D26" s="10">
        <f t="shared" si="1"/>
        <v>287870.30769230769</v>
      </c>
      <c r="E26" s="10">
        <v>127533</v>
      </c>
      <c r="F26" s="10">
        <v>245997</v>
      </c>
      <c r="G26" s="10">
        <v>210311</v>
      </c>
      <c r="H26" s="10">
        <v>637552</v>
      </c>
      <c r="I26" s="10">
        <v>305423</v>
      </c>
      <c r="J26" s="10">
        <v>494617</v>
      </c>
      <c r="K26" s="10">
        <v>164229</v>
      </c>
      <c r="L26" s="10">
        <v>359389</v>
      </c>
      <c r="M26" s="10">
        <v>467893</v>
      </c>
      <c r="N26" s="10">
        <v>241816</v>
      </c>
      <c r="O26" s="10">
        <v>227012</v>
      </c>
      <c r="P26" s="10">
        <v>238652</v>
      </c>
      <c r="Q26" s="10">
        <v>21890</v>
      </c>
    </row>
    <row r="27" spans="2:17">
      <c r="B27" s="9" t="s">
        <v>43</v>
      </c>
      <c r="C27" s="10">
        <f t="shared" si="0"/>
        <v>842990</v>
      </c>
      <c r="D27" s="10">
        <f t="shared" si="1"/>
        <v>64845.384615384617</v>
      </c>
      <c r="E27" s="10">
        <v>23000</v>
      </c>
      <c r="F27" s="10">
        <v>22690</v>
      </c>
      <c r="G27" s="10">
        <v>23200</v>
      </c>
      <c r="H27" s="10">
        <v>50000</v>
      </c>
      <c r="I27" s="10">
        <v>13060</v>
      </c>
      <c r="J27" s="10">
        <v>0</v>
      </c>
      <c r="K27" s="10">
        <v>349040</v>
      </c>
      <c r="L27" s="10">
        <v>41100</v>
      </c>
      <c r="M27" s="10">
        <v>320900</v>
      </c>
      <c r="N27" s="10">
        <v>0</v>
      </c>
      <c r="O27" s="10">
        <v>0</v>
      </c>
      <c r="P27" s="10">
        <v>0</v>
      </c>
      <c r="Q27" s="10">
        <v>0</v>
      </c>
    </row>
    <row r="28" spans="2:17">
      <c r="B28" s="9" t="s">
        <v>44</v>
      </c>
      <c r="C28" s="10">
        <f t="shared" si="0"/>
        <v>2511460</v>
      </c>
      <c r="D28" s="10">
        <f t="shared" si="1"/>
        <v>193189.23076923078</v>
      </c>
      <c r="E28" s="10">
        <v>492000</v>
      </c>
      <c r="F28" s="10">
        <v>122500</v>
      </c>
      <c r="G28" s="10">
        <v>203830</v>
      </c>
      <c r="H28" s="10">
        <v>100000</v>
      </c>
      <c r="I28" s="10">
        <v>146800</v>
      </c>
      <c r="J28" s="10">
        <v>163037</v>
      </c>
      <c r="K28" s="10">
        <v>171112</v>
      </c>
      <c r="L28" s="10">
        <v>242960</v>
      </c>
      <c r="M28" s="10">
        <v>74469</v>
      </c>
      <c r="N28" s="10">
        <v>230600</v>
      </c>
      <c r="O28" s="10">
        <v>238000</v>
      </c>
      <c r="P28" s="10">
        <v>241752</v>
      </c>
      <c r="Q28" s="10">
        <v>84400</v>
      </c>
    </row>
    <row r="29" spans="2:17">
      <c r="B29" s="9" t="s">
        <v>45</v>
      </c>
      <c r="C29" s="10">
        <f t="shared" si="0"/>
        <v>2118940</v>
      </c>
      <c r="D29" s="10">
        <f t="shared" si="1"/>
        <v>162995.38461538462</v>
      </c>
      <c r="E29" s="10">
        <v>4790</v>
      </c>
      <c r="F29" s="10">
        <v>246450</v>
      </c>
      <c r="G29" s="10">
        <v>100000</v>
      </c>
      <c r="H29" s="10">
        <v>257210</v>
      </c>
      <c r="I29" s="10">
        <v>271070</v>
      </c>
      <c r="J29" s="10">
        <v>269860</v>
      </c>
      <c r="K29" s="10">
        <v>247310</v>
      </c>
      <c r="L29" s="10">
        <v>257030</v>
      </c>
      <c r="M29" s="10">
        <v>11000</v>
      </c>
      <c r="N29" s="10">
        <v>447330</v>
      </c>
      <c r="O29" s="10">
        <v>6890</v>
      </c>
      <c r="P29" s="10">
        <v>0</v>
      </c>
      <c r="Q29" s="10">
        <v>0</v>
      </c>
    </row>
    <row r="30" spans="2:17">
      <c r="B30" s="9" t="s">
        <v>46</v>
      </c>
      <c r="C30" s="10">
        <f t="shared" si="0"/>
        <v>1612647</v>
      </c>
      <c r="D30" s="10">
        <f t="shared" si="1"/>
        <v>124049.76923076923</v>
      </c>
      <c r="E30" s="10">
        <v>98350</v>
      </c>
      <c r="F30" s="10">
        <v>104200</v>
      </c>
      <c r="G30" s="10">
        <v>0</v>
      </c>
      <c r="H30" s="10">
        <v>106300</v>
      </c>
      <c r="I30" s="10">
        <v>65100</v>
      </c>
      <c r="J30" s="10">
        <v>0</v>
      </c>
      <c r="K30" s="10">
        <v>0</v>
      </c>
      <c r="L30" s="10">
        <v>570300</v>
      </c>
      <c r="M30" s="10">
        <v>537900</v>
      </c>
      <c r="N30" s="10">
        <v>36000</v>
      </c>
      <c r="O30" s="10">
        <v>26330</v>
      </c>
      <c r="P30" s="10">
        <v>68167</v>
      </c>
      <c r="Q30" s="10">
        <v>0</v>
      </c>
    </row>
    <row r="31" spans="2:17">
      <c r="B31" s="9" t="s">
        <v>47</v>
      </c>
      <c r="C31" s="10">
        <f t="shared" si="0"/>
        <v>8555800</v>
      </c>
      <c r="D31" s="10">
        <f t="shared" si="1"/>
        <v>658138.4615384615</v>
      </c>
      <c r="E31" s="10">
        <v>0</v>
      </c>
      <c r="F31" s="10">
        <v>593800</v>
      </c>
      <c r="G31" s="10">
        <v>0</v>
      </c>
      <c r="H31" s="10">
        <v>1600000</v>
      </c>
      <c r="I31" s="10">
        <v>0</v>
      </c>
      <c r="J31" s="10">
        <v>7000</v>
      </c>
      <c r="K31" s="10">
        <v>123360</v>
      </c>
      <c r="L31" s="10">
        <v>5372200</v>
      </c>
      <c r="M31" s="10">
        <v>808040</v>
      </c>
      <c r="N31" s="10">
        <v>0</v>
      </c>
      <c r="O31" s="10">
        <v>0</v>
      </c>
      <c r="P31" s="10">
        <v>51400</v>
      </c>
      <c r="Q31" s="10">
        <v>0</v>
      </c>
    </row>
    <row r="32" spans="2:17">
      <c r="B32" s="11" t="s">
        <v>48</v>
      </c>
      <c r="C32" s="12">
        <f t="shared" si="0"/>
        <v>68071227</v>
      </c>
      <c r="D32" s="12">
        <f t="shared" si="1"/>
        <v>5236248.230769231</v>
      </c>
      <c r="E32" s="12">
        <f t="shared" ref="E32:Q32" si="3">SUM(E15:E31)</f>
        <v>2435311</v>
      </c>
      <c r="F32" s="12">
        <f t="shared" si="3"/>
        <v>5051729</v>
      </c>
      <c r="G32" s="12">
        <f t="shared" si="3"/>
        <v>3313363</v>
      </c>
      <c r="H32" s="12">
        <f t="shared" si="3"/>
        <v>9639453</v>
      </c>
      <c r="I32" s="12">
        <f t="shared" si="3"/>
        <v>2280813</v>
      </c>
      <c r="J32" s="12">
        <f t="shared" si="3"/>
        <v>2505168</v>
      </c>
      <c r="K32" s="12">
        <f t="shared" si="3"/>
        <v>3210693</v>
      </c>
      <c r="L32" s="12">
        <f t="shared" si="3"/>
        <v>9550649</v>
      </c>
      <c r="M32" s="12">
        <f t="shared" si="3"/>
        <v>14690875</v>
      </c>
      <c r="N32" s="12">
        <f t="shared" si="3"/>
        <v>11849960</v>
      </c>
      <c r="O32" s="12">
        <f t="shared" si="3"/>
        <v>1424192</v>
      </c>
      <c r="P32" s="12">
        <f t="shared" si="3"/>
        <v>1945541</v>
      </c>
      <c r="Q32" s="12">
        <f t="shared" si="3"/>
        <v>173480</v>
      </c>
    </row>
    <row r="33" spans="2:17">
      <c r="B33" s="13" t="s">
        <v>49</v>
      </c>
      <c r="C33" s="14">
        <f t="shared" si="0"/>
        <v>-59421175</v>
      </c>
      <c r="D33" s="14">
        <f t="shared" si="1"/>
        <v>-4570859.615384615</v>
      </c>
      <c r="E33" s="14">
        <f t="shared" ref="E33:Q33" si="4">E14-E32</f>
        <v>-2435306</v>
      </c>
      <c r="F33" s="14">
        <f t="shared" si="4"/>
        <v>-5051725</v>
      </c>
      <c r="G33" s="14">
        <f t="shared" si="4"/>
        <v>-3313359</v>
      </c>
      <c r="H33" s="14">
        <f t="shared" si="4"/>
        <v>-9639448</v>
      </c>
      <c r="I33" s="14">
        <f t="shared" si="4"/>
        <v>6219191</v>
      </c>
      <c r="J33" s="14">
        <f t="shared" si="4"/>
        <v>-2505164</v>
      </c>
      <c r="K33" s="14">
        <f t="shared" si="4"/>
        <v>-3210689</v>
      </c>
      <c r="L33" s="14">
        <f t="shared" si="4"/>
        <v>-9550644</v>
      </c>
      <c r="M33" s="14">
        <f t="shared" si="4"/>
        <v>-14540871</v>
      </c>
      <c r="N33" s="14">
        <f t="shared" si="4"/>
        <v>-11849955</v>
      </c>
      <c r="O33" s="14">
        <f t="shared" si="4"/>
        <v>-1424188</v>
      </c>
      <c r="P33" s="14">
        <f t="shared" si="4"/>
        <v>-1945537</v>
      </c>
      <c r="Q33" s="14">
        <f t="shared" si="4"/>
        <v>-173480</v>
      </c>
    </row>
    <row r="36" spans="2:17" ht="20">
      <c r="B36" s="1" t="s">
        <v>50</v>
      </c>
    </row>
    <row r="37" spans="2:17">
      <c r="B37" t="s">
        <v>51</v>
      </c>
    </row>
    <row r="38" spans="2:17">
      <c r="B38" s="45" t="s">
        <v>52</v>
      </c>
      <c r="C38" s="45"/>
      <c r="D38" s="45"/>
      <c r="E38" s="45"/>
      <c r="F38" s="46" t="s">
        <v>53</v>
      </c>
      <c r="G38" s="46"/>
      <c r="H38" s="46"/>
      <c r="I38" s="46"/>
    </row>
    <row r="39" spans="2:17">
      <c r="B39" s="15" t="s">
        <v>12</v>
      </c>
      <c r="C39" s="47" t="s">
        <v>54</v>
      </c>
      <c r="D39" s="47"/>
      <c r="E39" s="16" t="s">
        <v>55</v>
      </c>
      <c r="F39" s="16" t="s">
        <v>12</v>
      </c>
      <c r="G39" s="47" t="s">
        <v>54</v>
      </c>
      <c r="H39" s="47"/>
      <c r="I39" s="16" t="s">
        <v>55</v>
      </c>
    </row>
    <row r="40" spans="2:17">
      <c r="B40" s="48" t="s">
        <v>56</v>
      </c>
      <c r="C40" s="49" t="s">
        <v>57</v>
      </c>
      <c r="D40" s="49"/>
      <c r="E40" s="19">
        <v>58709</v>
      </c>
      <c r="F40" s="50" t="s">
        <v>95</v>
      </c>
      <c r="G40" s="49" t="s">
        <v>96</v>
      </c>
      <c r="H40" s="49"/>
      <c r="I40" s="20">
        <v>53700000</v>
      </c>
    </row>
    <row r="41" spans="2:17">
      <c r="B41" s="48"/>
      <c r="C41" s="49" t="s">
        <v>58</v>
      </c>
      <c r="D41" s="49"/>
      <c r="E41" s="19">
        <v>-53700000</v>
      </c>
      <c r="F41" s="50"/>
      <c r="G41" s="49" t="s">
        <v>96</v>
      </c>
      <c r="H41" s="49"/>
      <c r="I41" s="20">
        <v>3117550</v>
      </c>
    </row>
    <row r="42" spans="2:17">
      <c r="B42" s="48"/>
      <c r="C42" s="49" t="s">
        <v>59</v>
      </c>
      <c r="D42" s="49"/>
      <c r="E42" s="19">
        <v>1</v>
      </c>
      <c r="F42" s="50"/>
      <c r="G42" s="49" t="s">
        <v>96</v>
      </c>
      <c r="H42" s="49"/>
      <c r="I42" s="20">
        <v>0</v>
      </c>
    </row>
    <row r="43" spans="2:17">
      <c r="B43" s="48"/>
      <c r="C43" s="49" t="s">
        <v>60</v>
      </c>
      <c r="D43" s="49"/>
      <c r="E43" s="19">
        <v>10367</v>
      </c>
      <c r="F43" s="50"/>
      <c r="G43" s="49" t="s">
        <v>97</v>
      </c>
      <c r="H43" s="49"/>
      <c r="I43" s="20">
        <v>1521</v>
      </c>
    </row>
    <row r="44" spans="2:17">
      <c r="B44" s="48"/>
      <c r="C44" s="49" t="s">
        <v>61</v>
      </c>
      <c r="D44" s="49"/>
      <c r="E44" s="19">
        <v>3</v>
      </c>
      <c r="F44" s="18"/>
      <c r="G44" s="49"/>
      <c r="H44" s="49"/>
      <c r="I44" s="21"/>
    </row>
    <row r="45" spans="2:17">
      <c r="B45" s="48"/>
      <c r="C45" s="49" t="s">
        <v>62</v>
      </c>
      <c r="D45" s="49"/>
      <c r="E45" s="19">
        <v>423700</v>
      </c>
      <c r="F45" s="18"/>
      <c r="G45" s="49"/>
      <c r="H45" s="49"/>
      <c r="I45" s="21"/>
    </row>
    <row r="46" spans="2:17">
      <c r="B46" s="48"/>
      <c r="C46" s="49" t="s">
        <v>63</v>
      </c>
      <c r="D46" s="49"/>
      <c r="E46" s="19">
        <v>2727</v>
      </c>
      <c r="F46" s="18"/>
      <c r="G46" s="49"/>
      <c r="H46" s="49"/>
      <c r="I46" s="21"/>
    </row>
    <row r="47" spans="2:17">
      <c r="B47" s="48"/>
      <c r="C47" s="49" t="s">
        <v>64</v>
      </c>
      <c r="D47" s="49"/>
      <c r="E47" s="19">
        <v>-3117550</v>
      </c>
      <c r="F47" s="18"/>
      <c r="G47" s="49"/>
      <c r="H47" s="49"/>
      <c r="I47" s="21"/>
    </row>
    <row r="48" spans="2:17">
      <c r="B48" s="48"/>
      <c r="C48" s="49" t="s">
        <v>65</v>
      </c>
      <c r="D48" s="49"/>
      <c r="E48" s="19">
        <v>20257</v>
      </c>
      <c r="F48" s="18"/>
      <c r="G48" s="49"/>
      <c r="H48" s="49"/>
      <c r="I48" s="21"/>
    </row>
    <row r="49" spans="2:9">
      <c r="B49" s="17" t="s">
        <v>66</v>
      </c>
      <c r="C49" s="49"/>
      <c r="D49" s="49"/>
      <c r="E49" s="19"/>
      <c r="F49" s="18"/>
      <c r="G49" s="49"/>
      <c r="H49" s="49"/>
      <c r="I49" s="21"/>
    </row>
    <row r="50" spans="2:9">
      <c r="B50" s="17" t="s">
        <v>67</v>
      </c>
      <c r="C50" s="49" t="s">
        <v>68</v>
      </c>
      <c r="D50" s="49"/>
      <c r="E50" s="19">
        <v>0</v>
      </c>
      <c r="F50" s="18"/>
      <c r="G50" s="49"/>
      <c r="H50" s="49"/>
      <c r="I50" s="21"/>
    </row>
    <row r="51" spans="2:9">
      <c r="B51" s="17" t="s">
        <v>69</v>
      </c>
      <c r="C51" s="49" t="s">
        <v>70</v>
      </c>
      <c r="D51" s="49"/>
      <c r="E51" s="19">
        <v>20000</v>
      </c>
      <c r="F51" s="18"/>
      <c r="G51" s="49"/>
      <c r="H51" s="49"/>
      <c r="I51" s="21"/>
    </row>
    <row r="52" spans="2:9">
      <c r="B52" s="48" t="s">
        <v>71</v>
      </c>
      <c r="C52" s="49" t="s">
        <v>72</v>
      </c>
      <c r="D52" s="49"/>
      <c r="E52" s="19">
        <v>0</v>
      </c>
      <c r="F52" s="18"/>
      <c r="G52" s="49"/>
      <c r="H52" s="49"/>
      <c r="I52" s="21"/>
    </row>
    <row r="53" spans="2:9">
      <c r="B53" s="48"/>
      <c r="C53" s="49" t="s">
        <v>73</v>
      </c>
      <c r="D53" s="49"/>
      <c r="E53" s="19">
        <v>9010</v>
      </c>
      <c r="F53" s="18"/>
      <c r="G53" s="49"/>
      <c r="H53" s="49"/>
      <c r="I53" s="21"/>
    </row>
    <row r="54" spans="2:9">
      <c r="B54" s="48"/>
      <c r="C54" s="49" t="s">
        <v>74</v>
      </c>
      <c r="D54" s="49"/>
      <c r="E54" s="19">
        <v>500</v>
      </c>
      <c r="F54" s="18"/>
      <c r="G54" s="49"/>
      <c r="H54" s="49"/>
      <c r="I54" s="21"/>
    </row>
    <row r="55" spans="2:9">
      <c r="B55" s="48"/>
      <c r="C55" s="49" t="s">
        <v>75</v>
      </c>
      <c r="D55" s="49"/>
      <c r="E55" s="19">
        <v>0</v>
      </c>
      <c r="F55" s="18"/>
      <c r="G55" s="49"/>
      <c r="H55" s="49"/>
      <c r="I55" s="21"/>
    </row>
    <row r="56" spans="2:9">
      <c r="B56" s="48" t="s">
        <v>76</v>
      </c>
      <c r="C56" s="49" t="s">
        <v>77</v>
      </c>
      <c r="D56" s="49"/>
      <c r="E56" s="19">
        <v>751756.36640000006</v>
      </c>
      <c r="F56" s="18"/>
      <c r="G56" s="49"/>
      <c r="H56" s="49"/>
      <c r="I56" s="21"/>
    </row>
    <row r="57" spans="2:9">
      <c r="B57" s="48"/>
      <c r="C57" s="49" t="s">
        <v>78</v>
      </c>
      <c r="D57" s="49"/>
      <c r="E57" s="19">
        <v>606098.19160000002</v>
      </c>
      <c r="F57" s="18"/>
      <c r="G57" s="49"/>
      <c r="H57" s="49"/>
      <c r="I57" s="21"/>
    </row>
    <row r="58" spans="2:9">
      <c r="B58" s="48"/>
      <c r="C58" s="49" t="s">
        <v>79</v>
      </c>
      <c r="D58" s="49"/>
      <c r="E58" s="19">
        <v>501840</v>
      </c>
      <c r="F58" s="18"/>
      <c r="G58" s="49"/>
      <c r="H58" s="49"/>
      <c r="I58" s="21"/>
    </row>
    <row r="59" spans="2:9">
      <c r="B59" s="48"/>
      <c r="C59" s="49" t="s">
        <v>80</v>
      </c>
      <c r="D59" s="49"/>
      <c r="E59" s="19">
        <v>278906.91440000001</v>
      </c>
      <c r="F59" s="18"/>
      <c r="G59" s="49"/>
      <c r="H59" s="49"/>
      <c r="I59" s="21"/>
    </row>
    <row r="60" spans="2:9">
      <c r="B60" s="48"/>
      <c r="C60" s="49" t="s">
        <v>81</v>
      </c>
      <c r="D60" s="49"/>
      <c r="E60" s="19">
        <v>218418</v>
      </c>
      <c r="F60" s="18"/>
      <c r="G60" s="49"/>
      <c r="H60" s="49"/>
      <c r="I60" s="21"/>
    </row>
    <row r="61" spans="2:9">
      <c r="B61" s="48"/>
      <c r="C61" s="49" t="s">
        <v>82</v>
      </c>
      <c r="D61" s="49"/>
      <c r="E61" s="19">
        <v>121230</v>
      </c>
      <c r="F61" s="18"/>
      <c r="G61" s="49"/>
      <c r="H61" s="49"/>
      <c r="I61" s="21"/>
    </row>
    <row r="62" spans="2:9">
      <c r="B62" s="48"/>
      <c r="C62" s="49" t="s">
        <v>77</v>
      </c>
      <c r="D62" s="49"/>
      <c r="E62" s="19">
        <v>115654.8256</v>
      </c>
      <c r="F62" s="18"/>
      <c r="G62" s="49"/>
      <c r="H62" s="49"/>
      <c r="I62" s="21"/>
    </row>
    <row r="63" spans="2:9">
      <c r="B63" s="48"/>
      <c r="C63" s="49" t="s">
        <v>79</v>
      </c>
      <c r="D63" s="49"/>
      <c r="E63" s="19">
        <v>106080</v>
      </c>
      <c r="F63" s="18"/>
      <c r="G63" s="49"/>
      <c r="H63" s="49"/>
      <c r="I63" s="21"/>
    </row>
    <row r="64" spans="2:9">
      <c r="B64" s="48"/>
      <c r="C64" s="49" t="s">
        <v>83</v>
      </c>
      <c r="D64" s="49"/>
      <c r="E64" s="19">
        <v>93870</v>
      </c>
      <c r="F64" s="18"/>
      <c r="G64" s="49"/>
      <c r="H64" s="49"/>
      <c r="I64" s="21"/>
    </row>
    <row r="65" spans="2:9">
      <c r="B65" s="48"/>
      <c r="C65" s="49" t="s">
        <v>83</v>
      </c>
      <c r="D65" s="49"/>
      <c r="E65" s="19">
        <v>44700</v>
      </c>
      <c r="F65" s="18"/>
      <c r="G65" s="49"/>
      <c r="H65" s="49"/>
      <c r="I65" s="21"/>
    </row>
    <row r="66" spans="2:9">
      <c r="B66" s="48"/>
      <c r="C66" s="49" t="s">
        <v>84</v>
      </c>
      <c r="D66" s="49"/>
      <c r="E66" s="19">
        <v>1650</v>
      </c>
      <c r="F66" s="18"/>
      <c r="G66" s="49"/>
      <c r="H66" s="49"/>
      <c r="I66" s="21"/>
    </row>
    <row r="67" spans="2:9">
      <c r="B67" s="48"/>
      <c r="C67" s="49" t="s">
        <v>85</v>
      </c>
      <c r="D67" s="49"/>
      <c r="E67" s="19">
        <v>96009.739199999996</v>
      </c>
      <c r="F67" s="18"/>
      <c r="G67" s="49"/>
      <c r="H67" s="49"/>
      <c r="I67" s="21"/>
    </row>
    <row r="68" spans="2:9">
      <c r="B68" s="48"/>
      <c r="C68" s="49" t="s">
        <v>86</v>
      </c>
      <c r="D68" s="49"/>
      <c r="E68" s="19">
        <v>647898.13840000005</v>
      </c>
      <c r="F68" s="18"/>
      <c r="G68" s="49"/>
      <c r="H68" s="49"/>
      <c r="I68" s="21"/>
    </row>
    <row r="69" spans="2:9">
      <c r="B69" s="48"/>
      <c r="C69" s="49" t="s">
        <v>87</v>
      </c>
      <c r="D69" s="49"/>
      <c r="E69" s="19">
        <v>0</v>
      </c>
      <c r="F69" s="18"/>
      <c r="G69" s="49"/>
      <c r="H69" s="49"/>
      <c r="I69" s="21"/>
    </row>
    <row r="70" spans="2:9">
      <c r="B70" s="17" t="s">
        <v>88</v>
      </c>
      <c r="C70" s="49"/>
      <c r="D70" s="49"/>
      <c r="E70" s="19"/>
      <c r="F70" s="18"/>
      <c r="G70" s="49"/>
      <c r="H70" s="49"/>
      <c r="I70" s="21"/>
    </row>
    <row r="71" spans="2:9">
      <c r="B71" s="17" t="s">
        <v>89</v>
      </c>
      <c r="C71" s="49"/>
      <c r="D71" s="49"/>
      <c r="E71" s="19"/>
      <c r="F71" s="18"/>
      <c r="G71" s="49"/>
      <c r="H71" s="49"/>
      <c r="I71" s="21"/>
    </row>
    <row r="72" spans="2:9">
      <c r="B72" s="17" t="s">
        <v>90</v>
      </c>
      <c r="C72" s="49"/>
      <c r="D72" s="49"/>
      <c r="E72" s="19"/>
      <c r="F72" s="18"/>
      <c r="G72" s="49"/>
      <c r="H72" s="49"/>
      <c r="I72" s="21"/>
    </row>
    <row r="73" spans="2:9">
      <c r="B73" s="48" t="s">
        <v>91</v>
      </c>
      <c r="C73" s="49" t="s">
        <v>92</v>
      </c>
      <c r="D73" s="49"/>
      <c r="E73" s="19">
        <v>0</v>
      </c>
      <c r="F73" s="18"/>
      <c r="G73" s="49"/>
      <c r="H73" s="49"/>
      <c r="I73" s="21"/>
    </row>
    <row r="74" spans="2:9">
      <c r="B74" s="48"/>
      <c r="C74" s="49" t="s">
        <v>93</v>
      </c>
      <c r="D74" s="49"/>
      <c r="E74" s="19">
        <v>0</v>
      </c>
      <c r="F74" s="18"/>
      <c r="G74" s="49"/>
      <c r="H74" s="49"/>
      <c r="I74" s="21"/>
    </row>
    <row r="75" spans="2:9">
      <c r="B75" s="17" t="s">
        <v>94</v>
      </c>
      <c r="C75" s="49"/>
      <c r="D75" s="49"/>
      <c r="E75" s="19"/>
      <c r="F75" s="18"/>
      <c r="G75" s="49"/>
      <c r="H75" s="49"/>
      <c r="I75" s="21"/>
    </row>
    <row r="76" spans="2:9">
      <c r="B76" s="51" t="s">
        <v>98</v>
      </c>
      <c r="C76" s="51"/>
      <c r="D76" s="51"/>
      <c r="E76" s="22">
        <f>SUM(E40:E75)</f>
        <v>-52688163.824399993</v>
      </c>
      <c r="F76" s="52" t="s">
        <v>99</v>
      </c>
      <c r="G76" s="52"/>
      <c r="H76" s="52"/>
      <c r="I76" s="23">
        <f>SUM(I40:I75)</f>
        <v>56819071</v>
      </c>
    </row>
    <row r="77" spans="2:9">
      <c r="B77" s="53" t="s">
        <v>100</v>
      </c>
      <c r="C77" s="53"/>
      <c r="D77" s="53"/>
      <c r="E77" s="53"/>
      <c r="F77" s="53"/>
      <c r="G77" s="53"/>
      <c r="H77" s="53"/>
      <c r="I77" s="53"/>
    </row>
    <row r="78" spans="2:9">
      <c r="B78" s="54">
        <f>E76-I76</f>
        <v>-109507234.82439999</v>
      </c>
      <c r="C78" s="54"/>
      <c r="D78" s="54"/>
      <c r="E78" s="54"/>
      <c r="F78" s="54"/>
      <c r="G78" s="54"/>
      <c r="H78" s="54"/>
      <c r="I78" s="54"/>
    </row>
    <row r="81" spans="2:10" ht="20">
      <c r="B81" s="1" t="s">
        <v>101</v>
      </c>
    </row>
    <row r="82" spans="2:10">
      <c r="B82" t="s">
        <v>102</v>
      </c>
    </row>
    <row r="83" spans="2:10">
      <c r="B83" s="24" t="s">
        <v>103</v>
      </c>
      <c r="C83" s="55" t="s">
        <v>104</v>
      </c>
      <c r="D83" s="55"/>
      <c r="E83" s="25" t="s">
        <v>105</v>
      </c>
      <c r="F83" s="25" t="s">
        <v>106</v>
      </c>
      <c r="G83" s="25" t="s">
        <v>107</v>
      </c>
      <c r="H83" s="25" t="s">
        <v>108</v>
      </c>
    </row>
    <row r="84" spans="2:10">
      <c r="B84" s="26" t="s">
        <v>109</v>
      </c>
      <c r="C84" s="56" t="s">
        <v>92</v>
      </c>
      <c r="D84" s="56"/>
      <c r="E84" s="28" t="s">
        <v>110</v>
      </c>
      <c r="F84" s="29">
        <v>447600000</v>
      </c>
      <c r="G84" s="30">
        <v>44904</v>
      </c>
      <c r="H84" s="30">
        <v>46000</v>
      </c>
    </row>
    <row r="85" spans="2:10">
      <c r="B85" s="26" t="s">
        <v>109</v>
      </c>
      <c r="C85" s="56" t="s">
        <v>93</v>
      </c>
      <c r="D85" s="56"/>
      <c r="E85" s="28" t="s">
        <v>110</v>
      </c>
      <c r="F85" s="29">
        <v>1846010</v>
      </c>
      <c r="G85" s="30">
        <v>45640</v>
      </c>
      <c r="H85" s="30">
        <v>46005</v>
      </c>
    </row>
    <row r="86" spans="2:10">
      <c r="B86" s="57" t="s">
        <v>13</v>
      </c>
      <c r="C86" s="58" t="s">
        <v>111</v>
      </c>
      <c r="D86" s="58"/>
      <c r="E86" s="31" t="s">
        <v>112</v>
      </c>
      <c r="F86" s="31" t="s">
        <v>113</v>
      </c>
      <c r="G86" s="31"/>
      <c r="H86" s="32"/>
    </row>
    <row r="87" spans="2:10">
      <c r="B87" s="57"/>
      <c r="C87" s="59" t="s">
        <v>114</v>
      </c>
      <c r="D87" s="59"/>
      <c r="E87" s="33" t="s">
        <v>115</v>
      </c>
      <c r="F87" s="34">
        <f>SUM(F84:F85)</f>
        <v>449446010</v>
      </c>
      <c r="G87" s="33"/>
      <c r="H87" s="35"/>
    </row>
    <row r="89" spans="2:10" ht="20">
      <c r="B89" s="1" t="s">
        <v>116</v>
      </c>
    </row>
    <row r="90" spans="2:10">
      <c r="B90" t="s">
        <v>117</v>
      </c>
    </row>
    <row r="91" spans="2:10">
      <c r="B91" s="24" t="s">
        <v>118</v>
      </c>
      <c r="C91" s="25" t="s">
        <v>103</v>
      </c>
      <c r="D91" s="55" t="s">
        <v>54</v>
      </c>
      <c r="E91" s="55"/>
      <c r="F91" s="25" t="s">
        <v>119</v>
      </c>
      <c r="G91" s="25" t="s">
        <v>120</v>
      </c>
      <c r="H91" s="25" t="s">
        <v>121</v>
      </c>
      <c r="I91" s="25" t="s">
        <v>122</v>
      </c>
      <c r="J91" s="25" t="s">
        <v>108</v>
      </c>
    </row>
    <row r="92" spans="2:10">
      <c r="B92" s="26" t="s">
        <v>123</v>
      </c>
      <c r="C92" s="27" t="s">
        <v>124</v>
      </c>
      <c r="D92" s="56" t="s">
        <v>77</v>
      </c>
      <c r="E92" s="56"/>
      <c r="F92" s="29">
        <v>696283</v>
      </c>
      <c r="G92" s="29">
        <v>751756.36640000006</v>
      </c>
      <c r="H92" s="36">
        <v>7.9670717797217598</v>
      </c>
      <c r="I92" s="30"/>
      <c r="J92" s="30"/>
    </row>
    <row r="93" spans="2:10">
      <c r="B93" s="26" t="s">
        <v>123</v>
      </c>
      <c r="C93" s="27" t="s">
        <v>124</v>
      </c>
      <c r="D93" s="56" t="s">
        <v>78</v>
      </c>
      <c r="E93" s="56"/>
      <c r="F93" s="29">
        <v>691633</v>
      </c>
      <c r="G93" s="29">
        <v>606098.19160000002</v>
      </c>
      <c r="H93" s="36">
        <v>-12.367080286799499</v>
      </c>
      <c r="I93" s="30"/>
      <c r="J93" s="30"/>
    </row>
    <row r="94" spans="2:10">
      <c r="B94" s="26" t="s">
        <v>123</v>
      </c>
      <c r="C94" s="27" t="s">
        <v>124</v>
      </c>
      <c r="D94" s="56" t="s">
        <v>79</v>
      </c>
      <c r="E94" s="56"/>
      <c r="F94" s="29">
        <v>751889</v>
      </c>
      <c r="G94" s="29">
        <v>501840</v>
      </c>
      <c r="H94" s="36">
        <v>-33.256105621973447</v>
      </c>
      <c r="I94" s="30"/>
      <c r="J94" s="30"/>
    </row>
    <row r="95" spans="2:10">
      <c r="B95" s="26" t="s">
        <v>123</v>
      </c>
      <c r="C95" s="27" t="s">
        <v>124</v>
      </c>
      <c r="D95" s="56" t="s">
        <v>80</v>
      </c>
      <c r="E95" s="56"/>
      <c r="F95" s="29">
        <v>295368</v>
      </c>
      <c r="G95" s="29">
        <v>278906.91440000001</v>
      </c>
      <c r="H95" s="36">
        <v>-5.5730768397388992</v>
      </c>
      <c r="I95" s="30"/>
      <c r="J95" s="30"/>
    </row>
    <row r="96" spans="2:10">
      <c r="B96" s="26" t="s">
        <v>123</v>
      </c>
      <c r="C96" s="27" t="s">
        <v>124</v>
      </c>
      <c r="D96" s="56" t="s">
        <v>81</v>
      </c>
      <c r="E96" s="56"/>
      <c r="F96" s="29">
        <v>256302</v>
      </c>
      <c r="G96" s="29">
        <v>218418</v>
      </c>
      <c r="H96" s="36">
        <v>-14.781000538427319</v>
      </c>
      <c r="I96" s="30"/>
      <c r="J96" s="30"/>
    </row>
    <row r="97" spans="2:10">
      <c r="B97" s="26" t="s">
        <v>123</v>
      </c>
      <c r="C97" s="27" t="s">
        <v>124</v>
      </c>
      <c r="D97" s="56" t="s">
        <v>82</v>
      </c>
      <c r="E97" s="56"/>
      <c r="F97" s="29">
        <v>134325</v>
      </c>
      <c r="G97" s="29">
        <v>121230</v>
      </c>
      <c r="H97" s="36">
        <v>-9.748743718592964</v>
      </c>
      <c r="I97" s="30"/>
      <c r="J97" s="30"/>
    </row>
    <row r="98" spans="2:10">
      <c r="B98" s="26" t="s">
        <v>123</v>
      </c>
      <c r="C98" s="27" t="s">
        <v>124</v>
      </c>
      <c r="D98" s="56" t="s">
        <v>77</v>
      </c>
      <c r="E98" s="56"/>
      <c r="F98" s="29">
        <v>107134</v>
      </c>
      <c r="G98" s="29">
        <v>115654.8256</v>
      </c>
      <c r="H98" s="36">
        <v>7.9534280433849158</v>
      </c>
      <c r="I98" s="30"/>
      <c r="J98" s="30"/>
    </row>
    <row r="99" spans="2:10">
      <c r="B99" s="26" t="s">
        <v>123</v>
      </c>
      <c r="C99" s="27" t="s">
        <v>124</v>
      </c>
      <c r="D99" s="56" t="s">
        <v>79</v>
      </c>
      <c r="E99" s="56"/>
      <c r="F99" s="29">
        <v>178039</v>
      </c>
      <c r="G99" s="29">
        <v>106080</v>
      </c>
      <c r="H99" s="36">
        <v>-40.417548963991038</v>
      </c>
      <c r="I99" s="30"/>
      <c r="J99" s="30"/>
    </row>
    <row r="100" spans="2:10">
      <c r="B100" s="26" t="s">
        <v>123</v>
      </c>
      <c r="C100" s="27" t="s">
        <v>124</v>
      </c>
      <c r="D100" s="56" t="s">
        <v>83</v>
      </c>
      <c r="E100" s="56"/>
      <c r="F100" s="29">
        <v>104699</v>
      </c>
      <c r="G100" s="29">
        <v>93870</v>
      </c>
      <c r="H100" s="36">
        <v>-10.342983218559869</v>
      </c>
      <c r="I100" s="30"/>
      <c r="J100" s="30"/>
    </row>
    <row r="101" spans="2:10">
      <c r="B101" s="26" t="s">
        <v>123</v>
      </c>
      <c r="C101" s="27" t="s">
        <v>124</v>
      </c>
      <c r="D101" s="56" t="s">
        <v>83</v>
      </c>
      <c r="E101" s="56"/>
      <c r="F101" s="29">
        <v>47450</v>
      </c>
      <c r="G101" s="29">
        <v>44700</v>
      </c>
      <c r="H101" s="36">
        <v>-5.7955742887249739</v>
      </c>
      <c r="I101" s="30"/>
      <c r="J101" s="30"/>
    </row>
    <row r="102" spans="2:10">
      <c r="B102" s="26" t="s">
        <v>123</v>
      </c>
      <c r="C102" s="27" t="s">
        <v>125</v>
      </c>
      <c r="D102" s="56" t="s">
        <v>84</v>
      </c>
      <c r="E102" s="56"/>
      <c r="F102" s="29">
        <v>3365</v>
      </c>
      <c r="G102" s="29">
        <v>1650</v>
      </c>
      <c r="H102" s="36">
        <v>-50.965824665676067</v>
      </c>
      <c r="I102" s="30"/>
      <c r="J102" s="30"/>
    </row>
    <row r="103" spans="2:10">
      <c r="B103" s="61" t="s">
        <v>13</v>
      </c>
      <c r="C103" s="31"/>
      <c r="D103" s="58" t="s">
        <v>126</v>
      </c>
      <c r="E103" s="58"/>
      <c r="F103" s="31" t="s">
        <v>127</v>
      </c>
      <c r="G103" s="31" t="s">
        <v>128</v>
      </c>
      <c r="H103" s="31" t="s">
        <v>129</v>
      </c>
      <c r="I103" s="31"/>
      <c r="J103" s="32"/>
    </row>
    <row r="104" spans="2:10">
      <c r="B104" s="61"/>
      <c r="C104" s="33"/>
      <c r="D104" s="59" t="s">
        <v>130</v>
      </c>
      <c r="E104" s="59"/>
      <c r="F104" s="34">
        <f>SUM(F92:F102)</f>
        <v>3266487</v>
      </c>
      <c r="G104" s="34">
        <f>SUM(G92:G102)</f>
        <v>2840204.2980000004</v>
      </c>
      <c r="H104" s="37">
        <f>(SUM(G92:G102) - SUM(F92:F102)) * 100 / IF(SUM(F92:F102), SUM(F92:F102), 1)</f>
        <v>-13.050188229740378</v>
      </c>
      <c r="I104" s="33"/>
      <c r="J104" s="35"/>
    </row>
    <row r="106" spans="2:10" ht="20">
      <c r="B106" s="1" t="s">
        <v>131</v>
      </c>
    </row>
    <row r="107" spans="2:10">
      <c r="B107" t="s">
        <v>132</v>
      </c>
    </row>
    <row r="108" spans="2:10">
      <c r="B108" s="38" t="s">
        <v>133</v>
      </c>
      <c r="C108" s="39" t="s">
        <v>103</v>
      </c>
      <c r="D108" s="60" t="s">
        <v>54</v>
      </c>
      <c r="E108" s="60"/>
      <c r="F108" s="39" t="s">
        <v>134</v>
      </c>
      <c r="G108" s="39" t="s">
        <v>135</v>
      </c>
      <c r="H108" s="39" t="s">
        <v>136</v>
      </c>
      <c r="I108" s="39" t="s">
        <v>137</v>
      </c>
      <c r="J108" s="39" t="s">
        <v>138</v>
      </c>
    </row>
    <row r="109" spans="2:10">
      <c r="B109" s="26" t="s">
        <v>139</v>
      </c>
      <c r="C109" s="27" t="s">
        <v>140</v>
      </c>
      <c r="D109" s="56" t="s">
        <v>96</v>
      </c>
      <c r="E109" s="56"/>
      <c r="F109" s="29">
        <v>53700000</v>
      </c>
      <c r="G109" s="29">
        <v>53700000</v>
      </c>
      <c r="H109" s="27">
        <v>4.5999999999999996</v>
      </c>
      <c r="I109" s="30">
        <v>45100</v>
      </c>
      <c r="J109" s="30">
        <v>46196</v>
      </c>
    </row>
    <row r="110" spans="2:10">
      <c r="B110" s="26" t="s">
        <v>139</v>
      </c>
      <c r="C110" s="27" t="s">
        <v>140</v>
      </c>
      <c r="D110" s="56" t="s">
        <v>96</v>
      </c>
      <c r="E110" s="56"/>
      <c r="F110" s="29">
        <v>29800000</v>
      </c>
      <c r="G110" s="29">
        <v>3117550</v>
      </c>
      <c r="H110" s="27">
        <v>4.83</v>
      </c>
      <c r="I110" s="30">
        <v>45720</v>
      </c>
      <c r="J110" s="30">
        <v>46085</v>
      </c>
    </row>
    <row r="111" spans="2:10">
      <c r="B111" s="26" t="s">
        <v>139</v>
      </c>
      <c r="C111" s="27" t="s">
        <v>140</v>
      </c>
      <c r="D111" s="56" t="s">
        <v>96</v>
      </c>
      <c r="E111" s="56"/>
      <c r="F111" s="29">
        <v>30000000</v>
      </c>
      <c r="G111" s="29">
        <v>0</v>
      </c>
      <c r="H111" s="27">
        <v>6.06</v>
      </c>
      <c r="I111" s="30">
        <v>43935</v>
      </c>
      <c r="J111" s="30">
        <v>46126</v>
      </c>
    </row>
    <row r="112" spans="2:10">
      <c r="B112" s="26" t="s">
        <v>139</v>
      </c>
      <c r="C112" s="27" t="s">
        <v>141</v>
      </c>
      <c r="D112" s="56" t="s">
        <v>97</v>
      </c>
      <c r="E112" s="56"/>
      <c r="F112" s="29">
        <v>1500000</v>
      </c>
      <c r="G112" s="29">
        <v>1521</v>
      </c>
      <c r="H112" s="27">
        <v>1.7</v>
      </c>
      <c r="I112" s="30">
        <v>42264</v>
      </c>
      <c r="J112" s="30">
        <v>2958465</v>
      </c>
    </row>
    <row r="113" spans="2:10">
      <c r="B113" s="61" t="s">
        <v>13</v>
      </c>
      <c r="C113" s="31"/>
      <c r="D113" s="58" t="s">
        <v>142</v>
      </c>
      <c r="E113" s="58"/>
      <c r="F113" s="31" t="s">
        <v>143</v>
      </c>
      <c r="G113" s="31" t="s">
        <v>144</v>
      </c>
      <c r="H113" s="31"/>
      <c r="I113" s="31"/>
      <c r="J113" s="32"/>
    </row>
    <row r="114" spans="2:10">
      <c r="B114" s="61"/>
      <c r="C114" s="33"/>
      <c r="D114" s="62">
        <f>SUM(4)</f>
        <v>4</v>
      </c>
      <c r="E114" s="62"/>
      <c r="F114" s="34">
        <f>SUM(F109:F112)</f>
        <v>115000000</v>
      </c>
      <c r="G114" s="34">
        <f>SUM(G109:G112)</f>
        <v>56819071</v>
      </c>
      <c r="H114" s="33"/>
      <c r="I114" s="33"/>
      <c r="J114" s="35"/>
    </row>
  </sheetData>
  <mergeCells count="116">
    <mergeCell ref="D108:E108"/>
    <mergeCell ref="D109:E109"/>
    <mergeCell ref="D110:E110"/>
    <mergeCell ref="D111:E111"/>
    <mergeCell ref="D112:E112"/>
    <mergeCell ref="B113:B114"/>
    <mergeCell ref="D113:E113"/>
    <mergeCell ref="D114:E114"/>
    <mergeCell ref="D97:E97"/>
    <mergeCell ref="D98:E98"/>
    <mergeCell ref="D99:E99"/>
    <mergeCell ref="D100:E100"/>
    <mergeCell ref="D101:E101"/>
    <mergeCell ref="D102:E102"/>
    <mergeCell ref="B103:B104"/>
    <mergeCell ref="D103:E103"/>
    <mergeCell ref="D104:E104"/>
    <mergeCell ref="B86:B87"/>
    <mergeCell ref="C86:D86"/>
    <mergeCell ref="C87:D87"/>
    <mergeCell ref="D91:E91"/>
    <mergeCell ref="D92:E92"/>
    <mergeCell ref="D93:E93"/>
    <mergeCell ref="D94:E94"/>
    <mergeCell ref="D95:E95"/>
    <mergeCell ref="D96:E96"/>
    <mergeCell ref="G74:H74"/>
    <mergeCell ref="G75:H75"/>
    <mergeCell ref="B76:D76"/>
    <mergeCell ref="F76:H76"/>
    <mergeCell ref="B77:I77"/>
    <mergeCell ref="B78:I78"/>
    <mergeCell ref="C83:D83"/>
    <mergeCell ref="C84:D84"/>
    <mergeCell ref="C85:D85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C70:D70"/>
    <mergeCell ref="C71:D71"/>
    <mergeCell ref="C72:D72"/>
    <mergeCell ref="B73:B74"/>
    <mergeCell ref="C73:D73"/>
    <mergeCell ref="C74:D74"/>
    <mergeCell ref="C75:D75"/>
    <mergeCell ref="F40:F43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C49:D49"/>
    <mergeCell ref="C50:D50"/>
    <mergeCell ref="C51:D51"/>
    <mergeCell ref="B52:B55"/>
    <mergeCell ref="C52:D52"/>
    <mergeCell ref="C53:D53"/>
    <mergeCell ref="C54:D54"/>
    <mergeCell ref="C55:D55"/>
    <mergeCell ref="B56:B69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F5:G5"/>
    <mergeCell ref="F6:G6"/>
    <mergeCell ref="B38:E38"/>
    <mergeCell ref="F38:I38"/>
    <mergeCell ref="C39:D39"/>
    <mergeCell ref="G39:H39"/>
    <mergeCell ref="B40:B48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2"/>
  <sheetViews>
    <sheetView tabSelected="1" workbookViewId="0">
      <selection activeCell="J195" sqref="J195"/>
    </sheetView>
  </sheetViews>
  <sheetFormatPr baseColWidth="10" defaultColWidth="8.83203125" defaultRowHeight="17"/>
  <cols>
    <col min="1" max="1" width="15.6640625" customWidth="1"/>
    <col min="6" max="7" width="20.6640625" customWidth="1"/>
    <col min="9" max="10" width="20.6640625" customWidth="1"/>
  </cols>
  <sheetData>
    <row r="1" spans="1:10">
      <c r="A1" s="40" t="s">
        <v>145</v>
      </c>
      <c r="B1" s="40" t="s">
        <v>146</v>
      </c>
      <c r="C1" s="40" t="s">
        <v>147</v>
      </c>
      <c r="D1" s="40" t="s">
        <v>148</v>
      </c>
      <c r="E1" s="40" t="s">
        <v>149</v>
      </c>
      <c r="F1" s="40" t="s">
        <v>150</v>
      </c>
      <c r="G1" s="40" t="s">
        <v>55</v>
      </c>
      <c r="H1" s="40" t="s">
        <v>151</v>
      </c>
      <c r="I1" s="40" t="s">
        <v>152</v>
      </c>
      <c r="J1" s="40" t="s">
        <v>153</v>
      </c>
    </row>
    <row r="2" spans="1:10">
      <c r="A2" s="41">
        <v>45906</v>
      </c>
      <c r="B2" s="42">
        <v>0.28057870370370369</v>
      </c>
      <c r="C2" t="s">
        <v>156</v>
      </c>
      <c r="D2" t="s">
        <v>157</v>
      </c>
      <c r="E2" t="s">
        <v>158</v>
      </c>
      <c r="F2" t="s">
        <v>159</v>
      </c>
      <c r="G2">
        <v>-10000</v>
      </c>
      <c r="H2" t="s">
        <v>155</v>
      </c>
      <c r="I2" t="s">
        <v>65</v>
      </c>
    </row>
    <row r="3" spans="1:10">
      <c r="A3" s="41">
        <v>45901</v>
      </c>
      <c r="B3" s="42">
        <v>0.4714814814814815</v>
      </c>
      <c r="C3" t="s">
        <v>156</v>
      </c>
      <c r="D3" t="s">
        <v>157</v>
      </c>
      <c r="E3" t="s">
        <v>158</v>
      </c>
      <c r="F3" t="s">
        <v>7</v>
      </c>
      <c r="G3">
        <v>-800000</v>
      </c>
      <c r="H3" t="s">
        <v>155</v>
      </c>
      <c r="I3" t="s">
        <v>65</v>
      </c>
    </row>
    <row r="4" spans="1:10">
      <c r="A4" s="41">
        <v>45901</v>
      </c>
      <c r="B4" s="42">
        <v>0.47045138888888888</v>
      </c>
      <c r="C4" t="s">
        <v>156</v>
      </c>
      <c r="D4" t="s">
        <v>156</v>
      </c>
      <c r="E4" t="s">
        <v>158</v>
      </c>
      <c r="F4" t="s">
        <v>161</v>
      </c>
      <c r="G4">
        <v>-200000</v>
      </c>
      <c r="H4" t="s">
        <v>155</v>
      </c>
      <c r="I4" t="s">
        <v>65</v>
      </c>
    </row>
    <row r="5" spans="1:10">
      <c r="A5" s="41">
        <v>45901</v>
      </c>
      <c r="B5" s="42">
        <v>0.46848379629629627</v>
      </c>
      <c r="C5" t="s">
        <v>156</v>
      </c>
      <c r="D5" t="s">
        <v>157</v>
      </c>
      <c r="E5" t="s">
        <v>158</v>
      </c>
      <c r="F5" t="s">
        <v>7</v>
      </c>
      <c r="G5">
        <v>1284870</v>
      </c>
      <c r="H5" t="s">
        <v>155</v>
      </c>
      <c r="I5" t="s">
        <v>65</v>
      </c>
    </row>
    <row r="6" spans="1:10">
      <c r="A6" s="41">
        <v>45897</v>
      </c>
      <c r="B6" s="42">
        <v>0.70315972222222223</v>
      </c>
      <c r="C6" t="s">
        <v>156</v>
      </c>
      <c r="D6" t="s">
        <v>156</v>
      </c>
      <c r="E6" t="s">
        <v>158</v>
      </c>
      <c r="F6" t="s">
        <v>159</v>
      </c>
      <c r="G6">
        <v>-142240</v>
      </c>
      <c r="H6" t="s">
        <v>155</v>
      </c>
      <c r="I6" t="s">
        <v>65</v>
      </c>
    </row>
    <row r="7" spans="1:10">
      <c r="A7" s="41">
        <v>45896</v>
      </c>
      <c r="B7" s="42">
        <v>0.37653935185185178</v>
      </c>
      <c r="C7" t="s">
        <v>156</v>
      </c>
      <c r="D7" t="s">
        <v>157</v>
      </c>
      <c r="E7" t="s">
        <v>158</v>
      </c>
      <c r="F7" t="s">
        <v>159</v>
      </c>
      <c r="G7">
        <v>-10000</v>
      </c>
      <c r="H7" t="s">
        <v>155</v>
      </c>
      <c r="I7" t="s">
        <v>65</v>
      </c>
    </row>
    <row r="8" spans="1:10">
      <c r="A8" s="41">
        <v>45895</v>
      </c>
      <c r="B8" s="42">
        <v>0.48969907407407409</v>
      </c>
      <c r="C8" t="s">
        <v>156</v>
      </c>
      <c r="D8" t="s">
        <v>157</v>
      </c>
      <c r="E8" t="s">
        <v>158</v>
      </c>
      <c r="F8" t="s">
        <v>159</v>
      </c>
      <c r="G8">
        <v>-10000</v>
      </c>
      <c r="H8" t="s">
        <v>155</v>
      </c>
      <c r="I8" t="s">
        <v>65</v>
      </c>
    </row>
    <row r="9" spans="1:10">
      <c r="A9" s="41">
        <v>45894</v>
      </c>
      <c r="B9" s="42">
        <v>0.97042824074074074</v>
      </c>
      <c r="C9" t="s">
        <v>156</v>
      </c>
      <c r="D9" t="s">
        <v>157</v>
      </c>
      <c r="E9" t="s">
        <v>158</v>
      </c>
      <c r="F9" t="s">
        <v>159</v>
      </c>
      <c r="G9">
        <v>-10000</v>
      </c>
      <c r="H9" t="s">
        <v>155</v>
      </c>
      <c r="I9" t="s">
        <v>65</v>
      </c>
    </row>
    <row r="10" spans="1:10">
      <c r="A10" s="41">
        <v>45894</v>
      </c>
      <c r="B10" s="42">
        <v>0.77421296296296294</v>
      </c>
      <c r="C10" t="s">
        <v>154</v>
      </c>
      <c r="D10" t="s">
        <v>34</v>
      </c>
      <c r="E10" t="s">
        <v>164</v>
      </c>
      <c r="F10" t="s">
        <v>165</v>
      </c>
      <c r="G10">
        <v>-111150</v>
      </c>
      <c r="H10" t="s">
        <v>155</v>
      </c>
      <c r="I10" t="s">
        <v>65</v>
      </c>
    </row>
    <row r="11" spans="1:10">
      <c r="A11" s="41">
        <v>45891</v>
      </c>
      <c r="B11" s="42">
        <v>0.74975694444444441</v>
      </c>
      <c r="C11" t="s">
        <v>156</v>
      </c>
      <c r="D11" t="s">
        <v>157</v>
      </c>
      <c r="E11" t="s">
        <v>158</v>
      </c>
      <c r="F11" t="s">
        <v>167</v>
      </c>
      <c r="G11">
        <v>-6000</v>
      </c>
      <c r="H11" t="s">
        <v>155</v>
      </c>
      <c r="I11" t="s">
        <v>65</v>
      </c>
    </row>
    <row r="12" spans="1:10">
      <c r="A12" s="41">
        <v>45889</v>
      </c>
      <c r="B12" s="42">
        <v>0.57571759259259259</v>
      </c>
      <c r="C12" t="s">
        <v>156</v>
      </c>
      <c r="D12" t="s">
        <v>157</v>
      </c>
      <c r="E12" t="s">
        <v>158</v>
      </c>
      <c r="F12" t="s">
        <v>159</v>
      </c>
      <c r="G12">
        <v>-10000</v>
      </c>
      <c r="H12" t="s">
        <v>155</v>
      </c>
      <c r="I12" t="s">
        <v>65</v>
      </c>
    </row>
    <row r="13" spans="1:10">
      <c r="A13" s="41">
        <v>45884</v>
      </c>
      <c r="B13" s="42">
        <v>0.89012731481481477</v>
      </c>
      <c r="C13" t="s">
        <v>156</v>
      </c>
      <c r="D13" t="s">
        <v>157</v>
      </c>
      <c r="E13" t="s">
        <v>158</v>
      </c>
      <c r="F13" t="s">
        <v>7</v>
      </c>
      <c r="G13">
        <v>150000</v>
      </c>
      <c r="H13" t="s">
        <v>155</v>
      </c>
      <c r="I13" t="s">
        <v>65</v>
      </c>
    </row>
    <row r="14" spans="1:10">
      <c r="A14" s="41">
        <v>45881</v>
      </c>
      <c r="B14" s="42">
        <v>0.45881944444444439</v>
      </c>
      <c r="C14" t="s">
        <v>156</v>
      </c>
      <c r="D14" t="s">
        <v>157</v>
      </c>
      <c r="E14" t="s">
        <v>158</v>
      </c>
      <c r="F14" t="s">
        <v>7</v>
      </c>
      <c r="G14">
        <v>-100000</v>
      </c>
      <c r="H14" t="s">
        <v>155</v>
      </c>
      <c r="I14" t="s">
        <v>65</v>
      </c>
    </row>
    <row r="15" spans="1:10">
      <c r="A15" s="41">
        <v>45881</v>
      </c>
      <c r="B15" s="42">
        <v>0.33377314814814812</v>
      </c>
      <c r="C15" t="s">
        <v>156</v>
      </c>
      <c r="D15" t="s">
        <v>157</v>
      </c>
      <c r="E15" t="s">
        <v>158</v>
      </c>
      <c r="F15" t="s">
        <v>159</v>
      </c>
      <c r="G15">
        <v>-10490</v>
      </c>
      <c r="H15" t="s">
        <v>155</v>
      </c>
      <c r="I15" t="s">
        <v>65</v>
      </c>
    </row>
    <row r="16" spans="1:10">
      <c r="A16" s="41">
        <v>45880</v>
      </c>
      <c r="B16" s="42">
        <v>0.12740740740740741</v>
      </c>
      <c r="C16" t="s">
        <v>156</v>
      </c>
      <c r="D16" t="s">
        <v>156</v>
      </c>
      <c r="E16" t="s">
        <v>158</v>
      </c>
      <c r="F16" t="s">
        <v>169</v>
      </c>
      <c r="G16">
        <v>-26</v>
      </c>
      <c r="H16" t="s">
        <v>155</v>
      </c>
      <c r="I16" t="s">
        <v>65</v>
      </c>
    </row>
    <row r="17" spans="1:9">
      <c r="A17" s="41">
        <v>45875</v>
      </c>
      <c r="B17" s="42">
        <v>0.28056712962962971</v>
      </c>
      <c r="C17" t="s">
        <v>156</v>
      </c>
      <c r="D17" t="s">
        <v>157</v>
      </c>
      <c r="E17" t="s">
        <v>158</v>
      </c>
      <c r="F17" t="s">
        <v>159</v>
      </c>
      <c r="G17">
        <v>-10000</v>
      </c>
      <c r="H17" t="s">
        <v>155</v>
      </c>
      <c r="I17" t="s">
        <v>65</v>
      </c>
    </row>
    <row r="18" spans="1:9">
      <c r="A18" s="41">
        <v>45870</v>
      </c>
      <c r="B18" s="42">
        <v>0.5989930555555556</v>
      </c>
      <c r="C18" t="s">
        <v>156</v>
      </c>
      <c r="D18" t="s">
        <v>157</v>
      </c>
      <c r="E18" t="s">
        <v>158</v>
      </c>
      <c r="F18" t="s">
        <v>159</v>
      </c>
      <c r="G18">
        <v>-26800</v>
      </c>
      <c r="H18" t="s">
        <v>155</v>
      </c>
      <c r="I18" t="s">
        <v>65</v>
      </c>
    </row>
    <row r="19" spans="1:9">
      <c r="A19" s="41">
        <v>45867</v>
      </c>
      <c r="B19" s="42">
        <v>0.30159722222222218</v>
      </c>
      <c r="C19" t="s">
        <v>156</v>
      </c>
      <c r="D19" t="s">
        <v>157</v>
      </c>
      <c r="E19" t="s">
        <v>158</v>
      </c>
      <c r="F19" t="s">
        <v>159</v>
      </c>
      <c r="G19">
        <v>-10000</v>
      </c>
      <c r="H19" t="s">
        <v>155</v>
      </c>
      <c r="I19" t="s">
        <v>65</v>
      </c>
    </row>
    <row r="20" spans="1:9">
      <c r="A20" s="41">
        <v>45865</v>
      </c>
      <c r="B20" s="42">
        <v>0.97576388888888888</v>
      </c>
      <c r="C20" t="s">
        <v>156</v>
      </c>
      <c r="D20" t="s">
        <v>157</v>
      </c>
      <c r="E20" t="s">
        <v>158</v>
      </c>
      <c r="F20" t="s">
        <v>7</v>
      </c>
      <c r="G20">
        <v>100000</v>
      </c>
      <c r="H20" t="s">
        <v>155</v>
      </c>
      <c r="I20" t="s">
        <v>65</v>
      </c>
    </row>
    <row r="21" spans="1:9">
      <c r="A21" s="41">
        <v>45863</v>
      </c>
      <c r="B21" s="42">
        <v>0.76885416666666662</v>
      </c>
      <c r="C21" t="s">
        <v>154</v>
      </c>
      <c r="D21" t="s">
        <v>41</v>
      </c>
      <c r="E21" t="s">
        <v>170</v>
      </c>
      <c r="F21" t="s">
        <v>171</v>
      </c>
      <c r="G21">
        <v>-111150</v>
      </c>
      <c r="H21" t="s">
        <v>155</v>
      </c>
      <c r="I21" t="s">
        <v>65</v>
      </c>
    </row>
    <row r="22" spans="1:9">
      <c r="A22" s="41">
        <v>45863</v>
      </c>
      <c r="B22" s="42">
        <v>0.41425925925925933</v>
      </c>
      <c r="C22" t="s">
        <v>156</v>
      </c>
      <c r="D22" t="s">
        <v>157</v>
      </c>
      <c r="E22" t="s">
        <v>158</v>
      </c>
      <c r="F22" t="s">
        <v>7</v>
      </c>
      <c r="G22">
        <v>100000</v>
      </c>
      <c r="H22" t="s">
        <v>155</v>
      </c>
      <c r="I22" t="s">
        <v>65</v>
      </c>
    </row>
    <row r="23" spans="1:9">
      <c r="A23" s="41">
        <v>45860</v>
      </c>
      <c r="B23" s="42">
        <v>0.12792824074074069</v>
      </c>
      <c r="C23" t="s">
        <v>156</v>
      </c>
      <c r="D23" t="s">
        <v>157</v>
      </c>
      <c r="E23" t="s">
        <v>158</v>
      </c>
      <c r="F23" t="s">
        <v>159</v>
      </c>
      <c r="G23">
        <v>-36500</v>
      </c>
      <c r="H23" t="s">
        <v>155</v>
      </c>
      <c r="I23" t="s">
        <v>65</v>
      </c>
    </row>
    <row r="24" spans="1:9">
      <c r="A24" s="41">
        <v>45858</v>
      </c>
      <c r="B24" s="42">
        <v>0.57660879629629624</v>
      </c>
      <c r="C24" t="s">
        <v>156</v>
      </c>
      <c r="D24" t="s">
        <v>157</v>
      </c>
      <c r="E24" t="s">
        <v>158</v>
      </c>
      <c r="F24" t="s">
        <v>159</v>
      </c>
      <c r="G24">
        <v>-10000</v>
      </c>
      <c r="H24" t="s">
        <v>155</v>
      </c>
      <c r="I24" t="s">
        <v>65</v>
      </c>
    </row>
    <row r="25" spans="1:9">
      <c r="A25" s="41">
        <v>45852</v>
      </c>
      <c r="B25" s="42">
        <v>0.49432870370370369</v>
      </c>
      <c r="C25" t="s">
        <v>156</v>
      </c>
      <c r="D25" t="s">
        <v>157</v>
      </c>
      <c r="E25" t="s">
        <v>158</v>
      </c>
      <c r="F25" t="s">
        <v>7</v>
      </c>
      <c r="G25">
        <v>150000</v>
      </c>
      <c r="H25" t="s">
        <v>155</v>
      </c>
      <c r="I25" t="s">
        <v>65</v>
      </c>
    </row>
    <row r="26" spans="1:9">
      <c r="A26" s="41">
        <v>45852</v>
      </c>
      <c r="B26" s="42">
        <v>0.12607638888888889</v>
      </c>
      <c r="C26" t="s">
        <v>156</v>
      </c>
      <c r="D26" t="s">
        <v>156</v>
      </c>
      <c r="E26" t="s">
        <v>158</v>
      </c>
      <c r="F26" t="s">
        <v>169</v>
      </c>
      <c r="G26">
        <v>-77</v>
      </c>
      <c r="H26" t="s">
        <v>155</v>
      </c>
      <c r="I26" t="s">
        <v>65</v>
      </c>
    </row>
    <row r="27" spans="1:9">
      <c r="A27" s="41">
        <v>45850</v>
      </c>
      <c r="B27" s="42">
        <v>0.45872685185185191</v>
      </c>
      <c r="C27" t="s">
        <v>156</v>
      </c>
      <c r="D27" t="s">
        <v>157</v>
      </c>
      <c r="E27" t="s">
        <v>158</v>
      </c>
      <c r="F27" t="s">
        <v>7</v>
      </c>
      <c r="G27">
        <v>-100000</v>
      </c>
      <c r="H27" t="s">
        <v>155</v>
      </c>
      <c r="I27" t="s">
        <v>65</v>
      </c>
    </row>
    <row r="28" spans="1:9">
      <c r="A28" s="41">
        <v>45850</v>
      </c>
      <c r="B28" s="42">
        <v>0.33351851851851849</v>
      </c>
      <c r="C28" t="s">
        <v>156</v>
      </c>
      <c r="D28" t="s">
        <v>157</v>
      </c>
      <c r="E28" t="s">
        <v>158</v>
      </c>
      <c r="F28" t="s">
        <v>159</v>
      </c>
      <c r="G28">
        <v>-17180</v>
      </c>
      <c r="H28" t="s">
        <v>155</v>
      </c>
      <c r="I28" t="s">
        <v>65</v>
      </c>
    </row>
    <row r="29" spans="1:9">
      <c r="A29" s="41">
        <v>45833</v>
      </c>
      <c r="B29" s="42">
        <v>0.97027777777777779</v>
      </c>
      <c r="C29" t="s">
        <v>156</v>
      </c>
      <c r="D29" t="s">
        <v>157</v>
      </c>
      <c r="E29" t="s">
        <v>158</v>
      </c>
      <c r="F29" t="s">
        <v>159</v>
      </c>
      <c r="G29">
        <v>-10000</v>
      </c>
      <c r="H29" t="s">
        <v>155</v>
      </c>
      <c r="I29" t="s">
        <v>65</v>
      </c>
    </row>
    <row r="30" spans="1:9">
      <c r="A30" s="41">
        <v>45833</v>
      </c>
      <c r="B30" s="42">
        <v>0.82464120370370375</v>
      </c>
      <c r="C30" t="s">
        <v>156</v>
      </c>
      <c r="D30" t="s">
        <v>157</v>
      </c>
      <c r="E30" t="s">
        <v>158</v>
      </c>
      <c r="F30" t="s">
        <v>7</v>
      </c>
      <c r="G30">
        <v>37507</v>
      </c>
      <c r="H30" t="s">
        <v>155</v>
      </c>
      <c r="I30" t="s">
        <v>65</v>
      </c>
    </row>
    <row r="31" spans="1:9">
      <c r="A31" s="41">
        <v>45833</v>
      </c>
      <c r="B31" s="42">
        <v>0.7681365740740741</v>
      </c>
      <c r="C31" t="s">
        <v>154</v>
      </c>
      <c r="D31" t="s">
        <v>34</v>
      </c>
      <c r="E31" t="s">
        <v>164</v>
      </c>
      <c r="F31" t="s">
        <v>173</v>
      </c>
      <c r="G31">
        <v>-127540</v>
      </c>
      <c r="H31" t="s">
        <v>155</v>
      </c>
      <c r="I31" t="s">
        <v>65</v>
      </c>
    </row>
    <row r="32" spans="1:9">
      <c r="A32" s="41">
        <v>45833</v>
      </c>
      <c r="B32" s="42">
        <v>0.66601851851851857</v>
      </c>
      <c r="C32" t="s">
        <v>156</v>
      </c>
      <c r="D32" t="s">
        <v>157</v>
      </c>
      <c r="E32" t="s">
        <v>158</v>
      </c>
      <c r="F32" t="s">
        <v>7</v>
      </c>
      <c r="G32">
        <v>100000</v>
      </c>
      <c r="H32" t="s">
        <v>155</v>
      </c>
      <c r="I32" t="s">
        <v>65</v>
      </c>
    </row>
    <row r="33" spans="1:9">
      <c r="A33" s="41">
        <v>45829</v>
      </c>
      <c r="B33" s="42">
        <v>0.19420138888888891</v>
      </c>
      <c r="C33" t="s">
        <v>156</v>
      </c>
      <c r="D33" t="s">
        <v>158</v>
      </c>
      <c r="E33" t="s">
        <v>158</v>
      </c>
      <c r="F33" t="s">
        <v>175</v>
      </c>
      <c r="G33">
        <v>33</v>
      </c>
      <c r="H33" t="s">
        <v>155</v>
      </c>
      <c r="I33" t="s">
        <v>65</v>
      </c>
    </row>
    <row r="34" spans="1:9">
      <c r="A34" s="41">
        <v>45828</v>
      </c>
      <c r="B34" s="42">
        <v>0.57621527777777781</v>
      </c>
      <c r="C34" t="s">
        <v>156</v>
      </c>
      <c r="D34" t="s">
        <v>157</v>
      </c>
      <c r="E34" t="s">
        <v>158</v>
      </c>
      <c r="F34" t="s">
        <v>159</v>
      </c>
      <c r="G34">
        <v>-10000</v>
      </c>
      <c r="H34" t="s">
        <v>155</v>
      </c>
      <c r="I34" t="s">
        <v>65</v>
      </c>
    </row>
    <row r="35" spans="1:9">
      <c r="A35" s="41">
        <v>45824</v>
      </c>
      <c r="B35" s="42">
        <v>0.82718749999999996</v>
      </c>
      <c r="C35" t="s">
        <v>156</v>
      </c>
      <c r="D35" t="s">
        <v>157</v>
      </c>
      <c r="E35" t="s">
        <v>158</v>
      </c>
      <c r="F35" t="s">
        <v>7</v>
      </c>
      <c r="G35">
        <v>376196</v>
      </c>
      <c r="H35" t="s">
        <v>155</v>
      </c>
      <c r="I35" t="s">
        <v>65</v>
      </c>
    </row>
    <row r="36" spans="1:9">
      <c r="A36" s="41">
        <v>45824</v>
      </c>
      <c r="B36" s="42">
        <v>0.7570486111111111</v>
      </c>
      <c r="C36" t="s">
        <v>154</v>
      </c>
      <c r="D36" t="s">
        <v>40</v>
      </c>
      <c r="E36" t="s">
        <v>176</v>
      </c>
      <c r="F36" t="s">
        <v>174</v>
      </c>
      <c r="G36">
        <v>-519710</v>
      </c>
      <c r="H36" t="s">
        <v>155</v>
      </c>
      <c r="I36" t="s">
        <v>65</v>
      </c>
    </row>
    <row r="37" spans="1:9">
      <c r="A37" s="41">
        <v>45824</v>
      </c>
      <c r="B37" s="42">
        <v>0.1260185185185185</v>
      </c>
      <c r="C37" t="s">
        <v>156</v>
      </c>
      <c r="D37" t="s">
        <v>156</v>
      </c>
      <c r="E37" t="s">
        <v>158</v>
      </c>
      <c r="F37" t="s">
        <v>169</v>
      </c>
      <c r="G37">
        <v>-167</v>
      </c>
      <c r="H37" t="s">
        <v>155</v>
      </c>
      <c r="I37" t="s">
        <v>65</v>
      </c>
    </row>
    <row r="38" spans="1:9">
      <c r="A38" s="41">
        <v>45820</v>
      </c>
      <c r="B38" s="42">
        <v>0.45878472222222222</v>
      </c>
      <c r="C38" t="s">
        <v>156</v>
      </c>
      <c r="D38" t="s">
        <v>157</v>
      </c>
      <c r="E38" t="s">
        <v>158</v>
      </c>
      <c r="F38" t="s">
        <v>7</v>
      </c>
      <c r="G38">
        <v>-100000</v>
      </c>
      <c r="H38" t="s">
        <v>155</v>
      </c>
      <c r="I38" t="s">
        <v>65</v>
      </c>
    </row>
    <row r="39" spans="1:9">
      <c r="A39" s="41">
        <v>45803</v>
      </c>
      <c r="B39" s="42">
        <v>0.77071759259259254</v>
      </c>
      <c r="C39" t="s">
        <v>154</v>
      </c>
      <c r="D39" t="s">
        <v>47</v>
      </c>
      <c r="E39" t="s">
        <v>177</v>
      </c>
      <c r="F39" t="s">
        <v>178</v>
      </c>
      <c r="G39">
        <v>-123140</v>
      </c>
      <c r="H39" t="s">
        <v>155</v>
      </c>
      <c r="I39" t="s">
        <v>65</v>
      </c>
    </row>
    <row r="40" spans="1:9">
      <c r="A40" s="41">
        <v>45795</v>
      </c>
      <c r="B40" s="42">
        <v>0.25671296296296298</v>
      </c>
      <c r="C40" t="s">
        <v>154</v>
      </c>
      <c r="D40" t="s">
        <v>34</v>
      </c>
      <c r="E40" t="s">
        <v>179</v>
      </c>
      <c r="F40" t="s">
        <v>180</v>
      </c>
      <c r="G40">
        <v>-701475</v>
      </c>
      <c r="H40" t="s">
        <v>155</v>
      </c>
      <c r="I40" t="s">
        <v>65</v>
      </c>
    </row>
    <row r="41" spans="1:9">
      <c r="A41" s="41">
        <v>45794</v>
      </c>
      <c r="B41" s="42">
        <v>0.94954861111111111</v>
      </c>
      <c r="C41" t="s">
        <v>156</v>
      </c>
      <c r="D41" t="s">
        <v>156</v>
      </c>
      <c r="E41" t="s">
        <v>158</v>
      </c>
      <c r="F41" t="s">
        <v>181</v>
      </c>
      <c r="G41">
        <v>800000</v>
      </c>
      <c r="H41" t="s">
        <v>155</v>
      </c>
      <c r="I41" t="s">
        <v>65</v>
      </c>
    </row>
    <row r="42" spans="1:9">
      <c r="A42" s="41">
        <v>45794</v>
      </c>
      <c r="B42" s="42">
        <v>0.88140046296296293</v>
      </c>
      <c r="C42" t="s">
        <v>156</v>
      </c>
      <c r="D42" t="s">
        <v>157</v>
      </c>
      <c r="E42" t="s">
        <v>158</v>
      </c>
      <c r="F42" t="s">
        <v>7</v>
      </c>
      <c r="G42">
        <v>-20500000</v>
      </c>
      <c r="H42" t="s">
        <v>155</v>
      </c>
      <c r="I42" t="s">
        <v>65</v>
      </c>
    </row>
    <row r="43" spans="1:9">
      <c r="A43" s="41">
        <v>45794</v>
      </c>
      <c r="B43" s="42">
        <v>0.87962962962962965</v>
      </c>
      <c r="C43" t="s">
        <v>156</v>
      </c>
      <c r="D43" t="s">
        <v>156</v>
      </c>
      <c r="E43" t="s">
        <v>158</v>
      </c>
      <c r="F43" t="s">
        <v>161</v>
      </c>
      <c r="G43">
        <v>50000</v>
      </c>
      <c r="H43" t="s">
        <v>155</v>
      </c>
      <c r="I43" t="s">
        <v>65</v>
      </c>
    </row>
    <row r="44" spans="1:9">
      <c r="A44" s="41">
        <v>45794</v>
      </c>
      <c r="B44" s="42">
        <v>0.87910879629629635</v>
      </c>
      <c r="C44" t="s">
        <v>156</v>
      </c>
      <c r="D44" t="s">
        <v>156</v>
      </c>
      <c r="E44" t="s">
        <v>158</v>
      </c>
      <c r="F44" t="s">
        <v>161</v>
      </c>
      <c r="G44">
        <v>6000000</v>
      </c>
      <c r="H44" t="s">
        <v>155</v>
      </c>
      <c r="I44" t="s">
        <v>65</v>
      </c>
    </row>
    <row r="45" spans="1:9">
      <c r="A45" s="41">
        <v>45794</v>
      </c>
      <c r="B45" s="42">
        <v>0.87863425925925931</v>
      </c>
      <c r="C45" t="s">
        <v>156</v>
      </c>
      <c r="D45" t="s">
        <v>156</v>
      </c>
      <c r="E45" t="s">
        <v>158</v>
      </c>
      <c r="F45" t="s">
        <v>182</v>
      </c>
      <c r="G45">
        <v>6000000</v>
      </c>
      <c r="H45" t="s">
        <v>155</v>
      </c>
      <c r="I45" t="s">
        <v>65</v>
      </c>
    </row>
    <row r="46" spans="1:9">
      <c r="A46" s="41">
        <v>45794</v>
      </c>
      <c r="B46" s="42">
        <v>0.87804398148148144</v>
      </c>
      <c r="C46" t="s">
        <v>156</v>
      </c>
      <c r="D46" t="s">
        <v>156</v>
      </c>
      <c r="E46" t="s">
        <v>158</v>
      </c>
      <c r="F46" t="s">
        <v>182</v>
      </c>
      <c r="G46">
        <v>6000000</v>
      </c>
      <c r="H46" t="s">
        <v>155</v>
      </c>
      <c r="I46" t="s">
        <v>65</v>
      </c>
    </row>
    <row r="47" spans="1:9">
      <c r="A47" s="41">
        <v>45794</v>
      </c>
      <c r="B47" s="42">
        <v>0.51717592592592587</v>
      </c>
      <c r="C47" t="s">
        <v>156</v>
      </c>
      <c r="D47" t="s">
        <v>156</v>
      </c>
      <c r="E47" t="s">
        <v>158</v>
      </c>
      <c r="F47" t="s">
        <v>183</v>
      </c>
      <c r="G47">
        <v>-250000</v>
      </c>
      <c r="H47" t="s">
        <v>155</v>
      </c>
      <c r="I47" t="s">
        <v>65</v>
      </c>
    </row>
    <row r="48" spans="1:9">
      <c r="A48" s="41">
        <v>45794</v>
      </c>
      <c r="B48" s="42">
        <v>0.45556712962962959</v>
      </c>
      <c r="C48" t="s">
        <v>156</v>
      </c>
      <c r="D48" t="s">
        <v>156</v>
      </c>
      <c r="E48" t="s">
        <v>158</v>
      </c>
      <c r="F48" t="s">
        <v>184</v>
      </c>
      <c r="G48">
        <v>100000</v>
      </c>
      <c r="H48" t="s">
        <v>155</v>
      </c>
      <c r="I48" t="s">
        <v>65</v>
      </c>
    </row>
    <row r="49" spans="1:9">
      <c r="A49" s="41">
        <v>45794</v>
      </c>
      <c r="B49" s="42">
        <v>0.45505787037037038</v>
      </c>
      <c r="C49" t="s">
        <v>156</v>
      </c>
      <c r="D49" t="s">
        <v>156</v>
      </c>
      <c r="E49" t="s">
        <v>158</v>
      </c>
      <c r="F49" t="s">
        <v>185</v>
      </c>
      <c r="G49">
        <v>100000</v>
      </c>
      <c r="H49" t="s">
        <v>155</v>
      </c>
      <c r="I49" t="s">
        <v>65</v>
      </c>
    </row>
    <row r="50" spans="1:9">
      <c r="A50" s="41">
        <v>45794</v>
      </c>
      <c r="B50" s="42">
        <v>0.44547453703703699</v>
      </c>
      <c r="C50" t="s">
        <v>166</v>
      </c>
      <c r="D50" t="s">
        <v>29</v>
      </c>
      <c r="E50" t="s">
        <v>158</v>
      </c>
      <c r="F50" t="s">
        <v>186</v>
      </c>
      <c r="G50">
        <v>50000</v>
      </c>
      <c r="H50" t="s">
        <v>155</v>
      </c>
      <c r="I50" t="s">
        <v>65</v>
      </c>
    </row>
    <row r="51" spans="1:9">
      <c r="A51" s="41">
        <v>45794</v>
      </c>
      <c r="B51" s="42">
        <v>0.31770833333333331</v>
      </c>
      <c r="C51" t="s">
        <v>156</v>
      </c>
      <c r="D51" t="s">
        <v>157</v>
      </c>
      <c r="E51" t="s">
        <v>158</v>
      </c>
      <c r="F51" t="s">
        <v>7</v>
      </c>
      <c r="G51">
        <v>700000</v>
      </c>
      <c r="H51" t="s">
        <v>155</v>
      </c>
      <c r="I51" t="s">
        <v>65</v>
      </c>
    </row>
    <row r="52" spans="1:9">
      <c r="A52" s="41">
        <v>45793</v>
      </c>
      <c r="B52" s="42">
        <v>0.77045138888888887</v>
      </c>
      <c r="C52" t="s">
        <v>156</v>
      </c>
      <c r="D52" t="s">
        <v>156</v>
      </c>
      <c r="E52" t="s">
        <v>158</v>
      </c>
      <c r="F52" t="s">
        <v>168</v>
      </c>
      <c r="G52">
        <v>2000000</v>
      </c>
      <c r="H52" t="s">
        <v>155</v>
      </c>
      <c r="I52" t="s">
        <v>65</v>
      </c>
    </row>
    <row r="53" spans="1:9">
      <c r="A53" s="41">
        <v>45793</v>
      </c>
      <c r="B53" s="42">
        <v>0.65062500000000001</v>
      </c>
      <c r="C53" t="s">
        <v>156</v>
      </c>
      <c r="D53" t="s">
        <v>157</v>
      </c>
      <c r="E53" t="s">
        <v>158</v>
      </c>
      <c r="F53" t="s">
        <v>7</v>
      </c>
      <c r="G53">
        <v>400000</v>
      </c>
      <c r="H53" t="s">
        <v>155</v>
      </c>
      <c r="I53" t="s">
        <v>65</v>
      </c>
    </row>
    <row r="54" spans="1:9">
      <c r="A54" s="41">
        <v>45792</v>
      </c>
      <c r="B54" s="42">
        <v>0.46131944444444439</v>
      </c>
      <c r="C54" t="s">
        <v>156</v>
      </c>
      <c r="D54" t="s">
        <v>156</v>
      </c>
      <c r="E54" t="s">
        <v>158</v>
      </c>
      <c r="F54" t="s">
        <v>187</v>
      </c>
      <c r="G54">
        <v>100000</v>
      </c>
      <c r="H54" t="s">
        <v>155</v>
      </c>
      <c r="I54" t="s">
        <v>65</v>
      </c>
    </row>
    <row r="55" spans="1:9">
      <c r="A55" s="41">
        <v>45791</v>
      </c>
      <c r="B55" s="42">
        <v>0.75665509259259256</v>
      </c>
      <c r="C55" t="s">
        <v>154</v>
      </c>
      <c r="D55" t="s">
        <v>40</v>
      </c>
      <c r="E55" t="s">
        <v>176</v>
      </c>
      <c r="F55" t="s">
        <v>174</v>
      </c>
      <c r="G55">
        <v>-519710</v>
      </c>
      <c r="H55" t="s">
        <v>155</v>
      </c>
      <c r="I55" t="s">
        <v>65</v>
      </c>
    </row>
    <row r="56" spans="1:9">
      <c r="A56" s="41">
        <v>45791</v>
      </c>
      <c r="B56" s="42">
        <v>0.7429513888888889</v>
      </c>
      <c r="C56" t="s">
        <v>166</v>
      </c>
      <c r="D56" t="s">
        <v>29</v>
      </c>
      <c r="E56" t="s">
        <v>158</v>
      </c>
      <c r="F56" t="s">
        <v>188</v>
      </c>
      <c r="G56">
        <v>100000</v>
      </c>
      <c r="H56" t="s">
        <v>155</v>
      </c>
      <c r="I56" t="s">
        <v>65</v>
      </c>
    </row>
    <row r="57" spans="1:9">
      <c r="A57" s="41">
        <v>45790</v>
      </c>
      <c r="B57" s="42">
        <v>0.30084490740740738</v>
      </c>
      <c r="C57" t="s">
        <v>156</v>
      </c>
      <c r="D57" t="s">
        <v>157</v>
      </c>
      <c r="E57" t="s">
        <v>158</v>
      </c>
      <c r="F57" t="s">
        <v>159</v>
      </c>
      <c r="G57">
        <v>-48690</v>
      </c>
      <c r="H57" t="s">
        <v>155</v>
      </c>
      <c r="I57" t="s">
        <v>65</v>
      </c>
    </row>
    <row r="58" spans="1:9">
      <c r="A58" s="41">
        <v>45789</v>
      </c>
      <c r="B58" s="42">
        <v>0.71327546296296296</v>
      </c>
      <c r="C58" t="s">
        <v>156</v>
      </c>
      <c r="D58" t="s">
        <v>157</v>
      </c>
      <c r="E58" t="s">
        <v>158</v>
      </c>
      <c r="F58" t="s">
        <v>7</v>
      </c>
      <c r="G58">
        <v>100000</v>
      </c>
      <c r="H58" t="s">
        <v>155</v>
      </c>
      <c r="I58" t="s">
        <v>65</v>
      </c>
    </row>
    <row r="59" spans="1:9">
      <c r="A59" s="41">
        <v>45789</v>
      </c>
      <c r="B59" s="42">
        <v>0.45925925925925931</v>
      </c>
      <c r="C59" t="s">
        <v>156</v>
      </c>
      <c r="D59" t="s">
        <v>157</v>
      </c>
      <c r="E59" t="s">
        <v>158</v>
      </c>
      <c r="F59" t="s">
        <v>7</v>
      </c>
      <c r="G59">
        <v>-100000</v>
      </c>
      <c r="H59" t="s">
        <v>155</v>
      </c>
      <c r="I59" t="s">
        <v>65</v>
      </c>
    </row>
    <row r="60" spans="1:9">
      <c r="A60" s="41">
        <v>45789</v>
      </c>
      <c r="B60" s="42">
        <v>0.12582175925925931</v>
      </c>
      <c r="C60" t="s">
        <v>156</v>
      </c>
      <c r="D60" t="s">
        <v>156</v>
      </c>
      <c r="E60" t="s">
        <v>158</v>
      </c>
      <c r="F60" t="s">
        <v>169</v>
      </c>
      <c r="G60">
        <v>-215</v>
      </c>
      <c r="H60" t="s">
        <v>155</v>
      </c>
      <c r="I60" t="s">
        <v>65</v>
      </c>
    </row>
    <row r="61" spans="1:9">
      <c r="A61" s="41">
        <v>45787</v>
      </c>
      <c r="B61" s="42">
        <v>0.84538194444444448</v>
      </c>
      <c r="C61" t="s">
        <v>156</v>
      </c>
      <c r="D61" t="s">
        <v>157</v>
      </c>
      <c r="E61" t="s">
        <v>158</v>
      </c>
      <c r="F61" t="s">
        <v>7</v>
      </c>
      <c r="G61">
        <v>50000</v>
      </c>
      <c r="H61" t="s">
        <v>155</v>
      </c>
      <c r="I61" t="s">
        <v>65</v>
      </c>
    </row>
    <row r="62" spans="1:9">
      <c r="A62" s="41">
        <v>45787</v>
      </c>
      <c r="B62" s="42">
        <v>0.84504629629629635</v>
      </c>
      <c r="C62" t="s">
        <v>156</v>
      </c>
      <c r="D62" t="s">
        <v>157</v>
      </c>
      <c r="E62" t="s">
        <v>158</v>
      </c>
      <c r="F62" t="s">
        <v>189</v>
      </c>
      <c r="G62">
        <v>-64000</v>
      </c>
      <c r="H62" t="s">
        <v>155</v>
      </c>
      <c r="I62" t="s">
        <v>65</v>
      </c>
    </row>
    <row r="63" spans="1:9">
      <c r="A63" s="41">
        <v>45782</v>
      </c>
      <c r="B63" s="42">
        <v>0.77574074074074073</v>
      </c>
      <c r="C63" t="s">
        <v>156</v>
      </c>
      <c r="D63" t="s">
        <v>157</v>
      </c>
      <c r="E63" t="s">
        <v>158</v>
      </c>
      <c r="F63" t="s">
        <v>159</v>
      </c>
      <c r="G63">
        <v>-10000</v>
      </c>
      <c r="H63" t="s">
        <v>155</v>
      </c>
      <c r="I63" t="s">
        <v>65</v>
      </c>
    </row>
    <row r="64" spans="1:9">
      <c r="A64" s="41">
        <v>45781</v>
      </c>
      <c r="B64" s="42">
        <v>0.70982638888888894</v>
      </c>
      <c r="C64" t="s">
        <v>156</v>
      </c>
      <c r="D64" t="s">
        <v>157</v>
      </c>
      <c r="E64" t="s">
        <v>158</v>
      </c>
      <c r="F64" t="s">
        <v>159</v>
      </c>
      <c r="G64">
        <v>-10000</v>
      </c>
      <c r="H64" t="s">
        <v>155</v>
      </c>
      <c r="I64" t="s">
        <v>65</v>
      </c>
    </row>
    <row r="65" spans="1:9">
      <c r="A65" s="41">
        <v>45772</v>
      </c>
      <c r="B65" s="42">
        <v>0.97384259259259254</v>
      </c>
      <c r="C65" t="s">
        <v>156</v>
      </c>
      <c r="D65" t="s">
        <v>157</v>
      </c>
      <c r="E65" t="s">
        <v>158</v>
      </c>
      <c r="F65" t="s">
        <v>7</v>
      </c>
      <c r="G65">
        <v>100000</v>
      </c>
      <c r="H65" t="s">
        <v>155</v>
      </c>
      <c r="I65" t="s">
        <v>65</v>
      </c>
    </row>
    <row r="66" spans="1:9">
      <c r="A66" s="41">
        <v>45772</v>
      </c>
      <c r="B66" s="42">
        <v>0.9732291666666667</v>
      </c>
      <c r="C66" t="s">
        <v>156</v>
      </c>
      <c r="D66" t="s">
        <v>157</v>
      </c>
      <c r="E66" t="s">
        <v>158</v>
      </c>
      <c r="F66" t="s">
        <v>7</v>
      </c>
      <c r="G66">
        <v>60552</v>
      </c>
      <c r="H66" t="s">
        <v>155</v>
      </c>
      <c r="I66" t="s">
        <v>65</v>
      </c>
    </row>
    <row r="67" spans="1:9">
      <c r="A67" s="41">
        <v>45772</v>
      </c>
      <c r="B67" s="42">
        <v>0.97008101851851847</v>
      </c>
      <c r="C67" t="s">
        <v>156</v>
      </c>
      <c r="D67" t="s">
        <v>157</v>
      </c>
      <c r="E67" t="s">
        <v>158</v>
      </c>
      <c r="F67" t="s">
        <v>159</v>
      </c>
      <c r="G67">
        <v>-10000</v>
      </c>
      <c r="H67" t="s">
        <v>155</v>
      </c>
      <c r="I67" t="s">
        <v>65</v>
      </c>
    </row>
    <row r="68" spans="1:9">
      <c r="A68" s="41">
        <v>45772</v>
      </c>
      <c r="B68" s="42">
        <v>0.76905092592592594</v>
      </c>
      <c r="C68" t="s">
        <v>154</v>
      </c>
      <c r="D68" t="s">
        <v>34</v>
      </c>
      <c r="E68" t="s">
        <v>164</v>
      </c>
      <c r="F68" t="s">
        <v>190</v>
      </c>
      <c r="G68">
        <v>-125340</v>
      </c>
      <c r="H68" t="s">
        <v>155</v>
      </c>
      <c r="I68" t="s">
        <v>65</v>
      </c>
    </row>
    <row r="69" spans="1:9">
      <c r="A69" s="41">
        <v>45767</v>
      </c>
      <c r="B69" s="42">
        <v>0.57598379629629626</v>
      </c>
      <c r="C69" t="s">
        <v>156</v>
      </c>
      <c r="D69" t="s">
        <v>157</v>
      </c>
      <c r="E69" t="s">
        <v>158</v>
      </c>
      <c r="F69" t="s">
        <v>159</v>
      </c>
      <c r="G69">
        <v>-10000</v>
      </c>
      <c r="H69" t="s">
        <v>155</v>
      </c>
      <c r="I69" t="s">
        <v>65</v>
      </c>
    </row>
    <row r="70" spans="1:9">
      <c r="A70" s="41">
        <v>45763</v>
      </c>
      <c r="B70" s="42">
        <v>0.67273148148148143</v>
      </c>
      <c r="C70" t="s">
        <v>156</v>
      </c>
      <c r="D70" t="s">
        <v>157</v>
      </c>
      <c r="E70" t="s">
        <v>158</v>
      </c>
      <c r="F70" t="s">
        <v>7</v>
      </c>
      <c r="G70">
        <v>200000</v>
      </c>
      <c r="H70" t="s">
        <v>155</v>
      </c>
      <c r="I70" t="s">
        <v>65</v>
      </c>
    </row>
    <row r="71" spans="1:9">
      <c r="A71" s="41">
        <v>45763</v>
      </c>
      <c r="B71" s="42">
        <v>0.67231481481481481</v>
      </c>
      <c r="C71" t="s">
        <v>156</v>
      </c>
      <c r="D71" t="s">
        <v>157</v>
      </c>
      <c r="E71" t="s">
        <v>158</v>
      </c>
      <c r="F71" t="s">
        <v>7</v>
      </c>
      <c r="G71">
        <v>-2500000</v>
      </c>
      <c r="H71" t="s">
        <v>155</v>
      </c>
      <c r="I71" t="s">
        <v>65</v>
      </c>
    </row>
    <row r="72" spans="1:9">
      <c r="A72" s="41">
        <v>45763</v>
      </c>
      <c r="B72" s="42">
        <v>0.6212847222222222</v>
      </c>
      <c r="C72" t="s">
        <v>156</v>
      </c>
      <c r="D72" t="s">
        <v>156</v>
      </c>
      <c r="E72" t="s">
        <v>158</v>
      </c>
      <c r="F72" t="s">
        <v>168</v>
      </c>
      <c r="G72">
        <v>3000000</v>
      </c>
      <c r="H72" t="s">
        <v>155</v>
      </c>
      <c r="I72" t="s">
        <v>65</v>
      </c>
    </row>
    <row r="73" spans="1:9">
      <c r="A73" s="41">
        <v>45761</v>
      </c>
      <c r="B73" s="42">
        <v>0.75583333333333336</v>
      </c>
      <c r="C73" t="s">
        <v>154</v>
      </c>
      <c r="D73" t="s">
        <v>40</v>
      </c>
      <c r="E73" t="s">
        <v>176</v>
      </c>
      <c r="F73" t="s">
        <v>174</v>
      </c>
      <c r="G73">
        <v>-519710</v>
      </c>
      <c r="H73" t="s">
        <v>155</v>
      </c>
      <c r="I73" t="s">
        <v>65</v>
      </c>
    </row>
    <row r="74" spans="1:9">
      <c r="A74" s="41">
        <v>45761</v>
      </c>
      <c r="B74" s="42">
        <v>0.12650462962962961</v>
      </c>
      <c r="C74" t="s">
        <v>156</v>
      </c>
      <c r="D74" t="s">
        <v>156</v>
      </c>
      <c r="E74" t="s">
        <v>158</v>
      </c>
      <c r="F74" t="s">
        <v>169</v>
      </c>
      <c r="G74">
        <v>-156</v>
      </c>
      <c r="H74" t="s">
        <v>155</v>
      </c>
      <c r="I74" t="s">
        <v>65</v>
      </c>
    </row>
    <row r="75" spans="1:9">
      <c r="A75" s="41">
        <v>45759</v>
      </c>
      <c r="B75" s="42">
        <v>0.45872685185185191</v>
      </c>
      <c r="C75" t="s">
        <v>156</v>
      </c>
      <c r="D75" t="s">
        <v>157</v>
      </c>
      <c r="E75" t="s">
        <v>158</v>
      </c>
      <c r="F75" t="s">
        <v>7</v>
      </c>
      <c r="G75">
        <v>-100000</v>
      </c>
      <c r="H75" t="s">
        <v>155</v>
      </c>
      <c r="I75" t="s">
        <v>65</v>
      </c>
    </row>
    <row r="76" spans="1:9">
      <c r="A76" s="41">
        <v>45759</v>
      </c>
      <c r="B76" s="42">
        <v>0.33369212962962957</v>
      </c>
      <c r="C76" t="s">
        <v>156</v>
      </c>
      <c r="D76" t="s">
        <v>157</v>
      </c>
      <c r="E76" t="s">
        <v>158</v>
      </c>
      <c r="F76" t="s">
        <v>159</v>
      </c>
      <c r="G76">
        <v>-16090</v>
      </c>
      <c r="H76" t="s">
        <v>155</v>
      </c>
      <c r="I76" t="s">
        <v>65</v>
      </c>
    </row>
    <row r="77" spans="1:9">
      <c r="A77" s="41">
        <v>45745</v>
      </c>
      <c r="B77" s="42">
        <v>0.60620370370370369</v>
      </c>
      <c r="C77" t="s">
        <v>156</v>
      </c>
      <c r="D77" t="s">
        <v>157</v>
      </c>
      <c r="E77" t="s">
        <v>158</v>
      </c>
      <c r="F77" t="s">
        <v>159</v>
      </c>
      <c r="G77">
        <v>-10000</v>
      </c>
      <c r="H77" t="s">
        <v>155</v>
      </c>
      <c r="I77" t="s">
        <v>65</v>
      </c>
    </row>
    <row r="78" spans="1:9">
      <c r="A78" s="41">
        <v>45743</v>
      </c>
      <c r="B78" s="42">
        <v>0.32799768518518518</v>
      </c>
      <c r="C78" t="s">
        <v>156</v>
      </c>
      <c r="D78" t="s">
        <v>157</v>
      </c>
      <c r="E78" t="s">
        <v>158</v>
      </c>
      <c r="F78" t="s">
        <v>159</v>
      </c>
      <c r="G78">
        <v>-35500</v>
      </c>
      <c r="H78" t="s">
        <v>155</v>
      </c>
      <c r="I78" t="s">
        <v>65</v>
      </c>
    </row>
    <row r="79" spans="1:9">
      <c r="A79" s="41">
        <v>45742</v>
      </c>
      <c r="B79" s="42">
        <v>0.81461805555555555</v>
      </c>
      <c r="C79" t="s">
        <v>156</v>
      </c>
      <c r="D79" t="s">
        <v>157</v>
      </c>
      <c r="E79" t="s">
        <v>158</v>
      </c>
      <c r="F79" t="s">
        <v>7</v>
      </c>
      <c r="G79">
        <v>100000</v>
      </c>
      <c r="H79" t="s">
        <v>155</v>
      </c>
      <c r="I79" t="s">
        <v>65</v>
      </c>
    </row>
    <row r="80" spans="1:9">
      <c r="A80" s="41">
        <v>45742</v>
      </c>
      <c r="B80" s="42">
        <v>0.81438657407407411</v>
      </c>
      <c r="C80" t="s">
        <v>156</v>
      </c>
      <c r="D80" t="s">
        <v>157</v>
      </c>
      <c r="E80" t="s">
        <v>158</v>
      </c>
      <c r="F80" t="s">
        <v>7</v>
      </c>
      <c r="G80">
        <v>15</v>
      </c>
      <c r="H80" t="s">
        <v>155</v>
      </c>
      <c r="I80" t="s">
        <v>65</v>
      </c>
    </row>
    <row r="81" spans="1:9">
      <c r="A81" s="41">
        <v>45741</v>
      </c>
      <c r="B81" s="42">
        <v>0.97024305555555557</v>
      </c>
      <c r="C81" t="s">
        <v>156</v>
      </c>
      <c r="D81" t="s">
        <v>157</v>
      </c>
      <c r="E81" t="s">
        <v>158</v>
      </c>
      <c r="F81" t="s">
        <v>159</v>
      </c>
      <c r="G81">
        <v>-10000</v>
      </c>
      <c r="H81" t="s">
        <v>155</v>
      </c>
      <c r="I81" t="s">
        <v>65</v>
      </c>
    </row>
    <row r="82" spans="1:9">
      <c r="A82" s="41">
        <v>45741</v>
      </c>
      <c r="B82" s="42">
        <v>0.76987268518518515</v>
      </c>
      <c r="C82" t="s">
        <v>154</v>
      </c>
      <c r="D82" t="s">
        <v>47</v>
      </c>
      <c r="E82" t="s">
        <v>177</v>
      </c>
      <c r="F82" t="s">
        <v>191</v>
      </c>
      <c r="G82">
        <v>-123360</v>
      </c>
      <c r="H82" t="s">
        <v>155</v>
      </c>
      <c r="I82" t="s">
        <v>65</v>
      </c>
    </row>
    <row r="83" spans="1:9">
      <c r="A83" s="41">
        <v>45738</v>
      </c>
      <c r="B83" s="42">
        <v>0.4332523148148148</v>
      </c>
      <c r="C83" t="s">
        <v>156</v>
      </c>
      <c r="D83" t="s">
        <v>157</v>
      </c>
      <c r="E83" t="s">
        <v>158</v>
      </c>
      <c r="F83" t="s">
        <v>7</v>
      </c>
      <c r="G83">
        <v>100000</v>
      </c>
      <c r="H83" t="s">
        <v>155</v>
      </c>
      <c r="I83" t="s">
        <v>65</v>
      </c>
    </row>
    <row r="84" spans="1:9">
      <c r="A84" s="41">
        <v>45736</v>
      </c>
      <c r="B84" s="42">
        <v>0.57628472222222227</v>
      </c>
      <c r="C84" t="s">
        <v>156</v>
      </c>
      <c r="D84" t="s">
        <v>157</v>
      </c>
      <c r="E84" t="s">
        <v>158</v>
      </c>
      <c r="F84" t="s">
        <v>159</v>
      </c>
      <c r="G84">
        <v>-10000</v>
      </c>
      <c r="H84" t="s">
        <v>155</v>
      </c>
      <c r="I84" t="s">
        <v>65</v>
      </c>
    </row>
    <row r="85" spans="1:9">
      <c r="A85" s="41">
        <v>45734</v>
      </c>
      <c r="B85" s="42">
        <v>0.80631944444444448</v>
      </c>
      <c r="C85" t="s">
        <v>156</v>
      </c>
      <c r="D85" t="s">
        <v>157</v>
      </c>
      <c r="E85" t="s">
        <v>158</v>
      </c>
      <c r="F85" t="s">
        <v>7</v>
      </c>
      <c r="G85">
        <v>-100000</v>
      </c>
      <c r="H85" t="s">
        <v>155</v>
      </c>
      <c r="I85" t="s">
        <v>65</v>
      </c>
    </row>
    <row r="86" spans="1:9">
      <c r="A86" s="41">
        <v>45732</v>
      </c>
      <c r="B86" s="42">
        <v>0.60103009259259255</v>
      </c>
      <c r="C86" t="s">
        <v>156</v>
      </c>
      <c r="D86" t="s">
        <v>156</v>
      </c>
      <c r="E86" t="s">
        <v>158</v>
      </c>
      <c r="F86" t="s">
        <v>192</v>
      </c>
      <c r="G86">
        <v>100000</v>
      </c>
      <c r="H86" t="s">
        <v>155</v>
      </c>
      <c r="I86" t="s">
        <v>65</v>
      </c>
    </row>
    <row r="87" spans="1:9">
      <c r="A87" s="41">
        <v>45731</v>
      </c>
      <c r="B87" s="42">
        <v>0.22064814814814809</v>
      </c>
      <c r="C87" t="s">
        <v>156</v>
      </c>
      <c r="D87" t="s">
        <v>157</v>
      </c>
      <c r="E87" t="s">
        <v>158</v>
      </c>
      <c r="F87" t="s">
        <v>7</v>
      </c>
      <c r="G87">
        <v>519710</v>
      </c>
      <c r="H87" t="s">
        <v>155</v>
      </c>
      <c r="I87" t="s">
        <v>65</v>
      </c>
    </row>
    <row r="88" spans="1:9">
      <c r="A88" s="41">
        <v>45730</v>
      </c>
      <c r="B88" s="42">
        <v>0.75642361111111112</v>
      </c>
      <c r="C88" t="s">
        <v>154</v>
      </c>
      <c r="D88" t="s">
        <v>40</v>
      </c>
      <c r="E88" t="s">
        <v>176</v>
      </c>
      <c r="F88" t="s">
        <v>174</v>
      </c>
      <c r="G88">
        <v>-519710</v>
      </c>
      <c r="H88" t="s">
        <v>155</v>
      </c>
      <c r="I88" t="s">
        <v>65</v>
      </c>
    </row>
    <row r="89" spans="1:9">
      <c r="A89" s="41">
        <v>45728</v>
      </c>
      <c r="B89" s="42">
        <v>0.85108796296296296</v>
      </c>
      <c r="C89" t="s">
        <v>156</v>
      </c>
      <c r="D89" t="s">
        <v>157</v>
      </c>
      <c r="E89" t="s">
        <v>158</v>
      </c>
      <c r="F89" t="s">
        <v>7</v>
      </c>
      <c r="G89">
        <v>111290</v>
      </c>
      <c r="H89" t="s">
        <v>155</v>
      </c>
      <c r="I89" t="s">
        <v>65</v>
      </c>
    </row>
    <row r="90" spans="1:9">
      <c r="A90" s="41">
        <v>45728</v>
      </c>
      <c r="B90" s="42">
        <v>0.45877314814814812</v>
      </c>
      <c r="C90" t="s">
        <v>156</v>
      </c>
      <c r="D90" t="s">
        <v>157</v>
      </c>
      <c r="E90" t="s">
        <v>158</v>
      </c>
      <c r="F90" t="s">
        <v>7</v>
      </c>
      <c r="G90">
        <v>-100000</v>
      </c>
      <c r="H90" t="s">
        <v>155</v>
      </c>
      <c r="I90" t="s">
        <v>65</v>
      </c>
    </row>
    <row r="91" spans="1:9">
      <c r="A91" s="41">
        <v>45728</v>
      </c>
      <c r="B91" s="42">
        <v>0.33466435185185178</v>
      </c>
      <c r="C91" t="s">
        <v>156</v>
      </c>
      <c r="D91" t="s">
        <v>157</v>
      </c>
      <c r="E91" t="s">
        <v>158</v>
      </c>
      <c r="F91" t="s">
        <v>159</v>
      </c>
      <c r="G91">
        <v>-11290</v>
      </c>
      <c r="H91" t="s">
        <v>155</v>
      </c>
      <c r="I91" t="s">
        <v>65</v>
      </c>
    </row>
    <row r="92" spans="1:9">
      <c r="A92" s="41">
        <v>45726</v>
      </c>
      <c r="B92" s="42">
        <v>0.96084490740740736</v>
      </c>
      <c r="C92" t="s">
        <v>156</v>
      </c>
      <c r="D92" t="s">
        <v>157</v>
      </c>
      <c r="E92" t="s">
        <v>158</v>
      </c>
      <c r="F92" t="s">
        <v>7</v>
      </c>
      <c r="G92">
        <v>-13897</v>
      </c>
      <c r="H92" t="s">
        <v>155</v>
      </c>
      <c r="I92" t="s">
        <v>65</v>
      </c>
    </row>
    <row r="93" spans="1:9">
      <c r="A93" s="41">
        <v>45726</v>
      </c>
      <c r="B93" s="42">
        <v>0.9599537037037037</v>
      </c>
      <c r="C93" t="s">
        <v>156</v>
      </c>
      <c r="D93" t="s">
        <v>157</v>
      </c>
      <c r="E93" t="s">
        <v>158</v>
      </c>
      <c r="F93" t="s">
        <v>7</v>
      </c>
      <c r="G93">
        <v>23900</v>
      </c>
      <c r="H93" t="s">
        <v>155</v>
      </c>
      <c r="I93" t="s">
        <v>65</v>
      </c>
    </row>
    <row r="94" spans="1:9">
      <c r="A94" s="41">
        <v>45726</v>
      </c>
      <c r="B94" s="42">
        <v>0.12475694444444441</v>
      </c>
      <c r="C94" t="s">
        <v>156</v>
      </c>
      <c r="D94" t="s">
        <v>156</v>
      </c>
      <c r="E94" t="s">
        <v>158</v>
      </c>
      <c r="F94" t="s">
        <v>169</v>
      </c>
      <c r="G94">
        <v>-4606</v>
      </c>
      <c r="H94" t="s">
        <v>155</v>
      </c>
      <c r="I94" t="s">
        <v>65</v>
      </c>
    </row>
    <row r="95" spans="1:9">
      <c r="A95" s="41">
        <v>45722</v>
      </c>
      <c r="B95" s="42">
        <v>0.28056712962962971</v>
      </c>
      <c r="C95" t="s">
        <v>156</v>
      </c>
      <c r="D95" t="s">
        <v>157</v>
      </c>
      <c r="E95" t="s">
        <v>158</v>
      </c>
      <c r="F95" t="s">
        <v>159</v>
      </c>
      <c r="G95">
        <v>-10000</v>
      </c>
      <c r="H95" t="s">
        <v>155</v>
      </c>
      <c r="I95" t="s">
        <v>65</v>
      </c>
    </row>
    <row r="96" spans="1:9">
      <c r="A96" s="41">
        <v>45717</v>
      </c>
      <c r="B96" s="42">
        <v>0.37475694444444452</v>
      </c>
      <c r="C96" t="s">
        <v>156</v>
      </c>
      <c r="D96" t="s">
        <v>157</v>
      </c>
      <c r="E96" t="s">
        <v>158</v>
      </c>
      <c r="F96" t="s">
        <v>7</v>
      </c>
      <c r="G96">
        <v>4603</v>
      </c>
      <c r="H96" t="s">
        <v>155</v>
      </c>
      <c r="I96" t="s">
        <v>65</v>
      </c>
    </row>
    <row r="97" spans="1:9">
      <c r="A97" s="41">
        <v>45714</v>
      </c>
      <c r="B97" s="42">
        <v>0.15306712962962959</v>
      </c>
      <c r="C97" t="s">
        <v>156</v>
      </c>
      <c r="D97" t="s">
        <v>157</v>
      </c>
      <c r="E97" t="s">
        <v>158</v>
      </c>
      <c r="F97" t="s">
        <v>7</v>
      </c>
      <c r="G97">
        <v>-1321574</v>
      </c>
      <c r="H97" t="s">
        <v>155</v>
      </c>
      <c r="I97" t="s">
        <v>65</v>
      </c>
    </row>
    <row r="98" spans="1:9">
      <c r="A98" s="41">
        <v>45714</v>
      </c>
      <c r="B98" s="42">
        <v>0.15252314814814821</v>
      </c>
      <c r="C98" t="s">
        <v>156</v>
      </c>
      <c r="D98" t="s">
        <v>157</v>
      </c>
      <c r="E98" t="s">
        <v>158</v>
      </c>
      <c r="F98" t="s">
        <v>7</v>
      </c>
      <c r="G98">
        <v>2941850</v>
      </c>
      <c r="H98" t="s">
        <v>155</v>
      </c>
      <c r="I98" t="s">
        <v>65</v>
      </c>
    </row>
    <row r="99" spans="1:9">
      <c r="A99" s="41">
        <v>45713</v>
      </c>
      <c r="B99" s="42">
        <v>0.76946759259259256</v>
      </c>
      <c r="C99" t="s">
        <v>154</v>
      </c>
      <c r="D99" t="s">
        <v>34</v>
      </c>
      <c r="E99" t="s">
        <v>164</v>
      </c>
      <c r="F99" t="s">
        <v>193</v>
      </c>
      <c r="G99">
        <v>-134690</v>
      </c>
      <c r="H99" t="s">
        <v>155</v>
      </c>
      <c r="I99" t="s">
        <v>65</v>
      </c>
    </row>
    <row r="100" spans="1:9">
      <c r="A100" s="41">
        <v>45713</v>
      </c>
      <c r="B100" s="42">
        <v>0.45223379629629629</v>
      </c>
      <c r="C100" t="s">
        <v>156</v>
      </c>
      <c r="D100" t="s">
        <v>157</v>
      </c>
      <c r="E100" t="s">
        <v>158</v>
      </c>
      <c r="F100" t="s">
        <v>159</v>
      </c>
      <c r="G100">
        <v>-83000</v>
      </c>
      <c r="H100" t="s">
        <v>155</v>
      </c>
      <c r="I100" t="s">
        <v>65</v>
      </c>
    </row>
    <row r="101" spans="1:9">
      <c r="A101" s="41">
        <v>45708</v>
      </c>
      <c r="B101" s="42">
        <v>0.61821759259259257</v>
      </c>
      <c r="C101" t="s">
        <v>156</v>
      </c>
      <c r="D101" t="s">
        <v>157</v>
      </c>
      <c r="E101" t="s">
        <v>158</v>
      </c>
      <c r="F101" t="s">
        <v>159</v>
      </c>
      <c r="G101">
        <v>-10000</v>
      </c>
      <c r="H101" t="s">
        <v>155</v>
      </c>
      <c r="I101" t="s">
        <v>65</v>
      </c>
    </row>
    <row r="102" spans="1:9">
      <c r="A102" s="41">
        <v>45704</v>
      </c>
      <c r="B102" s="42">
        <v>0.96391203703703698</v>
      </c>
      <c r="C102" t="s">
        <v>156</v>
      </c>
      <c r="D102" t="s">
        <v>156</v>
      </c>
      <c r="E102" t="s">
        <v>158</v>
      </c>
      <c r="F102" t="s">
        <v>159</v>
      </c>
      <c r="G102">
        <v>-17500</v>
      </c>
      <c r="H102" t="s">
        <v>155</v>
      </c>
      <c r="I102" t="s">
        <v>65</v>
      </c>
    </row>
    <row r="103" spans="1:9">
      <c r="A103" s="41">
        <v>45702</v>
      </c>
      <c r="B103" s="42">
        <v>0.75920138888888888</v>
      </c>
      <c r="C103" t="s">
        <v>154</v>
      </c>
      <c r="D103" t="s">
        <v>40</v>
      </c>
      <c r="E103" t="s">
        <v>176</v>
      </c>
      <c r="F103" t="s">
        <v>174</v>
      </c>
      <c r="G103">
        <v>-519224</v>
      </c>
      <c r="H103" t="s">
        <v>155</v>
      </c>
      <c r="I103" t="s">
        <v>65</v>
      </c>
    </row>
    <row r="104" spans="1:9">
      <c r="A104" s="41">
        <v>45701</v>
      </c>
      <c r="B104" s="42">
        <v>0.59592592592592597</v>
      </c>
      <c r="C104" t="s">
        <v>156</v>
      </c>
      <c r="D104" t="s">
        <v>157</v>
      </c>
      <c r="E104" t="s">
        <v>158</v>
      </c>
      <c r="F104" t="s">
        <v>7</v>
      </c>
      <c r="G104">
        <v>2179347</v>
      </c>
      <c r="H104" t="s">
        <v>155</v>
      </c>
      <c r="I104" t="s">
        <v>65</v>
      </c>
    </row>
    <row r="105" spans="1:9">
      <c r="A105" s="41">
        <v>45700</v>
      </c>
      <c r="B105" s="42">
        <v>0.45876157407407409</v>
      </c>
      <c r="C105" t="s">
        <v>156</v>
      </c>
      <c r="D105" t="s">
        <v>157</v>
      </c>
      <c r="E105" t="s">
        <v>158</v>
      </c>
      <c r="F105" t="s">
        <v>7</v>
      </c>
      <c r="G105">
        <v>-100000</v>
      </c>
      <c r="H105" t="s">
        <v>155</v>
      </c>
      <c r="I105" t="s">
        <v>65</v>
      </c>
    </row>
    <row r="106" spans="1:9">
      <c r="A106" s="41">
        <v>45698</v>
      </c>
      <c r="B106" s="42">
        <v>0.1260185185185185</v>
      </c>
      <c r="C106" t="s">
        <v>156</v>
      </c>
      <c r="D106" t="s">
        <v>156</v>
      </c>
      <c r="E106" t="s">
        <v>158</v>
      </c>
      <c r="F106" t="s">
        <v>169</v>
      </c>
      <c r="G106">
        <v>-3209</v>
      </c>
      <c r="H106" t="s">
        <v>155</v>
      </c>
      <c r="I106" t="s">
        <v>65</v>
      </c>
    </row>
    <row r="107" spans="1:9">
      <c r="A107" s="41">
        <v>45695</v>
      </c>
      <c r="B107" s="42">
        <v>0.64723379629629629</v>
      </c>
      <c r="C107" t="s">
        <v>156</v>
      </c>
      <c r="D107" t="s">
        <v>156</v>
      </c>
      <c r="E107" t="s">
        <v>158</v>
      </c>
      <c r="F107" t="s">
        <v>194</v>
      </c>
      <c r="G107">
        <v>-200000</v>
      </c>
      <c r="H107" t="s">
        <v>155</v>
      </c>
      <c r="I107" t="s">
        <v>65</v>
      </c>
    </row>
    <row r="108" spans="1:9">
      <c r="A108" s="41">
        <v>45694</v>
      </c>
      <c r="B108" s="42">
        <v>0.66422453703703699</v>
      </c>
      <c r="C108" t="s">
        <v>156</v>
      </c>
      <c r="D108" t="s">
        <v>157</v>
      </c>
      <c r="E108" t="s">
        <v>158</v>
      </c>
      <c r="F108" t="s">
        <v>159</v>
      </c>
      <c r="G108">
        <v>-26990</v>
      </c>
      <c r="H108" t="s">
        <v>155</v>
      </c>
      <c r="I108" t="s">
        <v>65</v>
      </c>
    </row>
    <row r="109" spans="1:9">
      <c r="A109" s="41">
        <v>45694</v>
      </c>
      <c r="B109" s="42">
        <v>0.56195601851851851</v>
      </c>
      <c r="C109" t="s">
        <v>156</v>
      </c>
      <c r="D109" t="s">
        <v>157</v>
      </c>
      <c r="E109" t="s">
        <v>158</v>
      </c>
      <c r="F109" t="s">
        <v>7</v>
      </c>
      <c r="G109">
        <v>-1000000</v>
      </c>
      <c r="H109" t="s">
        <v>155</v>
      </c>
      <c r="I109" t="s">
        <v>65</v>
      </c>
    </row>
    <row r="110" spans="1:9">
      <c r="A110" s="41">
        <v>45694</v>
      </c>
      <c r="B110" s="42">
        <v>0.28056712962962971</v>
      </c>
      <c r="C110" t="s">
        <v>156</v>
      </c>
      <c r="D110" t="s">
        <v>157</v>
      </c>
      <c r="E110" t="s">
        <v>158</v>
      </c>
      <c r="F110" t="s">
        <v>159</v>
      </c>
      <c r="G110">
        <v>-10000</v>
      </c>
      <c r="H110" t="s">
        <v>155</v>
      </c>
      <c r="I110" t="s">
        <v>65</v>
      </c>
    </row>
    <row r="111" spans="1:9">
      <c r="A111" s="41">
        <v>45693</v>
      </c>
      <c r="B111" s="42">
        <v>0.98490740740740745</v>
      </c>
      <c r="C111" t="s">
        <v>156</v>
      </c>
      <c r="D111" t="s">
        <v>157</v>
      </c>
      <c r="E111" t="s">
        <v>158</v>
      </c>
      <c r="F111" t="s">
        <v>159</v>
      </c>
      <c r="G111">
        <v>-20350</v>
      </c>
      <c r="H111" t="s">
        <v>155</v>
      </c>
      <c r="I111" t="s">
        <v>65</v>
      </c>
    </row>
    <row r="112" spans="1:9">
      <c r="A112" s="41">
        <v>45691</v>
      </c>
      <c r="B112" s="42">
        <v>0.9346875</v>
      </c>
      <c r="C112" t="s">
        <v>156</v>
      </c>
      <c r="D112" t="s">
        <v>156</v>
      </c>
      <c r="E112" t="s">
        <v>158</v>
      </c>
      <c r="F112" t="s">
        <v>163</v>
      </c>
      <c r="G112">
        <v>-10000</v>
      </c>
      <c r="H112" t="s">
        <v>155</v>
      </c>
      <c r="I112" t="s">
        <v>65</v>
      </c>
    </row>
    <row r="113" spans="1:9">
      <c r="A113" s="41">
        <v>45691</v>
      </c>
      <c r="B113" s="42">
        <v>0.87878472222222226</v>
      </c>
      <c r="C113" t="s">
        <v>156</v>
      </c>
      <c r="D113" t="s">
        <v>157</v>
      </c>
      <c r="E113" t="s">
        <v>158</v>
      </c>
      <c r="F113" t="s">
        <v>7</v>
      </c>
      <c r="G113">
        <v>-1370000</v>
      </c>
      <c r="H113" t="s">
        <v>155</v>
      </c>
      <c r="I113" t="s">
        <v>65</v>
      </c>
    </row>
    <row r="114" spans="1:9">
      <c r="A114" s="41">
        <v>45688</v>
      </c>
      <c r="B114" s="42">
        <v>0.78413194444444445</v>
      </c>
      <c r="C114" t="s">
        <v>154</v>
      </c>
      <c r="D114" t="s">
        <v>34</v>
      </c>
      <c r="E114" t="s">
        <v>164</v>
      </c>
      <c r="F114" t="s">
        <v>195</v>
      </c>
      <c r="G114">
        <v>-123360</v>
      </c>
      <c r="H114" t="s">
        <v>155</v>
      </c>
      <c r="I114" t="s">
        <v>65</v>
      </c>
    </row>
    <row r="115" spans="1:9">
      <c r="A115" s="41">
        <v>45688</v>
      </c>
      <c r="B115" s="42">
        <v>0.60888888888888892</v>
      </c>
      <c r="C115" t="s">
        <v>156</v>
      </c>
      <c r="D115" t="s">
        <v>157</v>
      </c>
      <c r="E115" t="s">
        <v>158</v>
      </c>
      <c r="F115" t="s">
        <v>7</v>
      </c>
      <c r="G115">
        <v>10000</v>
      </c>
      <c r="H115" t="s">
        <v>155</v>
      </c>
      <c r="I115" t="s">
        <v>65</v>
      </c>
    </row>
    <row r="116" spans="1:9">
      <c r="A116" s="41">
        <v>45683</v>
      </c>
      <c r="B116" s="42">
        <v>1.1666666666666671E-2</v>
      </c>
      <c r="C116" t="s">
        <v>156</v>
      </c>
      <c r="D116" t="s">
        <v>157</v>
      </c>
      <c r="E116" t="s">
        <v>158</v>
      </c>
      <c r="F116" t="s">
        <v>159</v>
      </c>
      <c r="G116">
        <v>-10000</v>
      </c>
      <c r="H116" t="s">
        <v>155</v>
      </c>
      <c r="I116" t="s">
        <v>65</v>
      </c>
    </row>
    <row r="117" spans="1:9">
      <c r="A117" s="41">
        <v>45681</v>
      </c>
      <c r="B117" s="42">
        <v>0.50568287037037041</v>
      </c>
      <c r="C117" t="s">
        <v>156</v>
      </c>
      <c r="D117" t="s">
        <v>157</v>
      </c>
      <c r="E117" t="s">
        <v>158</v>
      </c>
      <c r="F117" t="s">
        <v>7</v>
      </c>
      <c r="G117">
        <v>57000</v>
      </c>
      <c r="H117" t="s">
        <v>155</v>
      </c>
      <c r="I117" t="s">
        <v>65</v>
      </c>
    </row>
    <row r="118" spans="1:9">
      <c r="A118" s="41">
        <v>45677</v>
      </c>
      <c r="B118" s="42">
        <v>0.61820601851851853</v>
      </c>
      <c r="C118" t="s">
        <v>156</v>
      </c>
      <c r="D118" t="s">
        <v>157</v>
      </c>
      <c r="E118" t="s">
        <v>158</v>
      </c>
      <c r="F118" t="s">
        <v>159</v>
      </c>
      <c r="G118">
        <v>-10000</v>
      </c>
      <c r="H118" t="s">
        <v>155</v>
      </c>
      <c r="I118" t="s">
        <v>65</v>
      </c>
    </row>
    <row r="119" spans="1:9">
      <c r="A119" s="41">
        <v>45674</v>
      </c>
      <c r="B119" s="42">
        <v>0.64212962962962961</v>
      </c>
      <c r="C119" t="s">
        <v>156</v>
      </c>
      <c r="D119" t="s">
        <v>157</v>
      </c>
      <c r="E119" t="s">
        <v>158</v>
      </c>
      <c r="F119" t="s">
        <v>7</v>
      </c>
      <c r="G119">
        <v>650095</v>
      </c>
      <c r="H119" t="s">
        <v>155</v>
      </c>
      <c r="I119" t="s">
        <v>65</v>
      </c>
    </row>
    <row r="120" spans="1:9">
      <c r="A120" s="41">
        <v>45671</v>
      </c>
      <c r="B120" s="42">
        <v>0.76050925925925927</v>
      </c>
      <c r="C120" t="s">
        <v>154</v>
      </c>
      <c r="D120" t="s">
        <v>40</v>
      </c>
      <c r="E120" t="s">
        <v>176</v>
      </c>
      <c r="F120" t="s">
        <v>174</v>
      </c>
      <c r="G120">
        <v>-519730</v>
      </c>
      <c r="H120" t="s">
        <v>155</v>
      </c>
      <c r="I120" t="s">
        <v>65</v>
      </c>
    </row>
    <row r="121" spans="1:9">
      <c r="A121" s="41">
        <v>45670</v>
      </c>
      <c r="B121" s="42">
        <v>0.12627314814814811</v>
      </c>
      <c r="C121" t="s">
        <v>156</v>
      </c>
      <c r="D121" t="s">
        <v>156</v>
      </c>
      <c r="E121" t="s">
        <v>158</v>
      </c>
      <c r="F121" t="s">
        <v>169</v>
      </c>
      <c r="G121">
        <v>-19875</v>
      </c>
      <c r="H121" t="s">
        <v>155</v>
      </c>
      <c r="I121" t="s">
        <v>65</v>
      </c>
    </row>
    <row r="122" spans="1:9">
      <c r="A122" s="41">
        <v>45669</v>
      </c>
      <c r="B122" s="42">
        <v>0.45872685185185191</v>
      </c>
      <c r="C122" t="s">
        <v>156</v>
      </c>
      <c r="D122" t="s">
        <v>157</v>
      </c>
      <c r="E122" t="s">
        <v>158</v>
      </c>
      <c r="F122" t="s">
        <v>7</v>
      </c>
      <c r="G122">
        <v>-100000</v>
      </c>
      <c r="H122" t="s">
        <v>155</v>
      </c>
      <c r="I122" t="s">
        <v>65</v>
      </c>
    </row>
    <row r="123" spans="1:9">
      <c r="A123" s="41">
        <v>45669</v>
      </c>
      <c r="B123" s="42">
        <v>0.3752199074074074</v>
      </c>
      <c r="C123" t="s">
        <v>156</v>
      </c>
      <c r="D123" t="s">
        <v>157</v>
      </c>
      <c r="E123" t="s">
        <v>158</v>
      </c>
      <c r="F123" t="s">
        <v>159</v>
      </c>
      <c r="G123">
        <v>-10490</v>
      </c>
      <c r="H123" t="s">
        <v>155</v>
      </c>
      <c r="I123" t="s">
        <v>65</v>
      </c>
    </row>
    <row r="124" spans="1:9">
      <c r="A124" s="41">
        <v>45667</v>
      </c>
      <c r="B124" s="42">
        <v>0.71172453703703709</v>
      </c>
      <c r="C124" t="s">
        <v>156</v>
      </c>
      <c r="D124" t="s">
        <v>157</v>
      </c>
      <c r="E124" t="s">
        <v>158</v>
      </c>
      <c r="F124" t="s">
        <v>7</v>
      </c>
      <c r="G124">
        <v>325621</v>
      </c>
      <c r="H124" t="s">
        <v>155</v>
      </c>
      <c r="I124" t="s">
        <v>65</v>
      </c>
    </row>
    <row r="125" spans="1:9">
      <c r="A125" s="41">
        <v>45663</v>
      </c>
      <c r="B125" s="42">
        <v>0.28056712962962971</v>
      </c>
      <c r="C125" t="s">
        <v>156</v>
      </c>
      <c r="D125" t="s">
        <v>157</v>
      </c>
      <c r="E125" t="s">
        <v>158</v>
      </c>
      <c r="F125" t="s">
        <v>159</v>
      </c>
      <c r="G125">
        <v>-10000</v>
      </c>
      <c r="H125" t="s">
        <v>155</v>
      </c>
      <c r="I125" t="s">
        <v>65</v>
      </c>
    </row>
    <row r="126" spans="1:9">
      <c r="A126" s="41">
        <v>45659</v>
      </c>
      <c r="B126" s="42">
        <v>0.56614583333333335</v>
      </c>
      <c r="C126" t="s">
        <v>156</v>
      </c>
      <c r="D126" t="s">
        <v>157</v>
      </c>
      <c r="E126" t="s">
        <v>158</v>
      </c>
      <c r="F126" t="s">
        <v>7</v>
      </c>
      <c r="G126">
        <v>-3300000</v>
      </c>
      <c r="H126" t="s">
        <v>155</v>
      </c>
      <c r="I126" t="s">
        <v>65</v>
      </c>
    </row>
    <row r="127" spans="1:9">
      <c r="A127" s="41">
        <v>45659</v>
      </c>
      <c r="B127" s="42">
        <v>0.5108449074074074</v>
      </c>
      <c r="C127" t="s">
        <v>166</v>
      </c>
      <c r="D127" t="s">
        <v>29</v>
      </c>
      <c r="E127" t="s">
        <v>158</v>
      </c>
      <c r="F127" t="s">
        <v>196</v>
      </c>
      <c r="G127">
        <v>8500000</v>
      </c>
      <c r="H127" t="s">
        <v>155</v>
      </c>
      <c r="I127" t="s">
        <v>65</v>
      </c>
    </row>
    <row r="128" spans="1:9">
      <c r="A128" s="41">
        <v>45657</v>
      </c>
      <c r="B128" s="42">
        <v>0.27105324074074072</v>
      </c>
      <c r="C128" t="s">
        <v>156</v>
      </c>
      <c r="D128" t="s">
        <v>157</v>
      </c>
      <c r="E128" t="s">
        <v>158</v>
      </c>
      <c r="F128" t="s">
        <v>197</v>
      </c>
      <c r="G128">
        <v>-213290</v>
      </c>
      <c r="H128" t="s">
        <v>155</v>
      </c>
      <c r="I128" t="s">
        <v>65</v>
      </c>
    </row>
    <row r="129" spans="1:9">
      <c r="A129" s="41">
        <v>45655</v>
      </c>
      <c r="B129" s="42">
        <v>0.68042824074074071</v>
      </c>
      <c r="C129" t="s">
        <v>156</v>
      </c>
      <c r="D129" t="s">
        <v>157</v>
      </c>
      <c r="E129" t="s">
        <v>158</v>
      </c>
      <c r="F129" t="s">
        <v>159</v>
      </c>
      <c r="G129">
        <v>-37150</v>
      </c>
      <c r="H129" t="s">
        <v>155</v>
      </c>
      <c r="I129" t="s">
        <v>65</v>
      </c>
    </row>
    <row r="130" spans="1:9">
      <c r="A130" s="41">
        <v>45654</v>
      </c>
      <c r="B130" s="42">
        <v>0.7590972222222222</v>
      </c>
      <c r="C130" t="s">
        <v>156</v>
      </c>
      <c r="D130" t="s">
        <v>157</v>
      </c>
      <c r="E130" t="s">
        <v>158</v>
      </c>
      <c r="F130" t="s">
        <v>7</v>
      </c>
      <c r="G130">
        <v>2019305</v>
      </c>
      <c r="H130" t="s">
        <v>155</v>
      </c>
      <c r="I130" t="s">
        <v>65</v>
      </c>
    </row>
    <row r="131" spans="1:9">
      <c r="A131" s="41">
        <v>45652</v>
      </c>
      <c r="B131" s="42">
        <v>0.80740740740740746</v>
      </c>
      <c r="C131" t="s">
        <v>154</v>
      </c>
      <c r="D131" t="s">
        <v>34</v>
      </c>
      <c r="E131" t="s">
        <v>162</v>
      </c>
      <c r="F131" t="s">
        <v>198</v>
      </c>
      <c r="G131">
        <v>-246400</v>
      </c>
      <c r="H131" t="s">
        <v>155</v>
      </c>
      <c r="I131" t="s">
        <v>65</v>
      </c>
    </row>
    <row r="132" spans="1:9">
      <c r="A132" s="41">
        <v>45652</v>
      </c>
      <c r="B132" s="42">
        <v>0.76953703703703702</v>
      </c>
      <c r="C132" t="s">
        <v>154</v>
      </c>
      <c r="D132" t="s">
        <v>34</v>
      </c>
      <c r="E132" t="s">
        <v>164</v>
      </c>
      <c r="F132" t="s">
        <v>199</v>
      </c>
      <c r="G132">
        <v>-123360</v>
      </c>
      <c r="H132" t="s">
        <v>155</v>
      </c>
      <c r="I132" t="s">
        <v>65</v>
      </c>
    </row>
    <row r="133" spans="1:9">
      <c r="A133" s="41">
        <v>45652</v>
      </c>
      <c r="B133" s="42">
        <v>1.484953703703704E-2</v>
      </c>
      <c r="C133" t="s">
        <v>156</v>
      </c>
      <c r="D133" t="s">
        <v>157</v>
      </c>
      <c r="E133" t="s">
        <v>158</v>
      </c>
      <c r="F133" t="s">
        <v>159</v>
      </c>
      <c r="G133">
        <v>-10000</v>
      </c>
      <c r="H133" t="s">
        <v>155</v>
      </c>
      <c r="I133" t="s">
        <v>65</v>
      </c>
    </row>
    <row r="134" spans="1:9">
      <c r="A134" s="41">
        <v>45647</v>
      </c>
      <c r="B134" s="42">
        <v>0.82416666666666671</v>
      </c>
      <c r="C134" t="s">
        <v>156</v>
      </c>
      <c r="D134" t="s">
        <v>157</v>
      </c>
      <c r="E134" t="s">
        <v>158</v>
      </c>
      <c r="F134" t="s">
        <v>159</v>
      </c>
      <c r="G134">
        <v>-10000</v>
      </c>
      <c r="H134" t="s">
        <v>155</v>
      </c>
      <c r="I134" t="s">
        <v>65</v>
      </c>
    </row>
    <row r="135" spans="1:9">
      <c r="A135" s="41">
        <v>45646</v>
      </c>
      <c r="B135" s="42">
        <v>0.61717592592592596</v>
      </c>
      <c r="C135" t="s">
        <v>156</v>
      </c>
      <c r="D135" t="s">
        <v>157</v>
      </c>
      <c r="E135" t="s">
        <v>158</v>
      </c>
      <c r="F135" t="s">
        <v>159</v>
      </c>
      <c r="G135">
        <v>-10000</v>
      </c>
      <c r="H135" t="s">
        <v>155</v>
      </c>
      <c r="I135" t="s">
        <v>65</v>
      </c>
    </row>
    <row r="136" spans="1:9">
      <c r="A136" s="41">
        <v>45642</v>
      </c>
      <c r="B136" s="42">
        <v>0.75754629629629633</v>
      </c>
      <c r="C136" t="s">
        <v>154</v>
      </c>
      <c r="D136" t="s">
        <v>40</v>
      </c>
      <c r="E136" t="s">
        <v>176</v>
      </c>
      <c r="F136" t="s">
        <v>174</v>
      </c>
      <c r="G136">
        <v>-521399</v>
      </c>
      <c r="H136" t="s">
        <v>155</v>
      </c>
      <c r="I136" t="s">
        <v>65</v>
      </c>
    </row>
    <row r="137" spans="1:9">
      <c r="A137" s="41">
        <v>45642</v>
      </c>
      <c r="B137" s="42">
        <v>0.40380787037037041</v>
      </c>
      <c r="C137" t="s">
        <v>156</v>
      </c>
      <c r="D137" t="s">
        <v>157</v>
      </c>
      <c r="E137" t="s">
        <v>158</v>
      </c>
      <c r="F137" t="s">
        <v>7</v>
      </c>
      <c r="G137">
        <v>-1000000</v>
      </c>
      <c r="H137" t="s">
        <v>155</v>
      </c>
      <c r="I137" t="s">
        <v>65</v>
      </c>
    </row>
    <row r="138" spans="1:9">
      <c r="A138" s="41">
        <v>45642</v>
      </c>
      <c r="B138" s="42">
        <v>0.12637731481481479</v>
      </c>
      <c r="C138" t="s">
        <v>156</v>
      </c>
      <c r="D138" t="s">
        <v>156</v>
      </c>
      <c r="E138" t="s">
        <v>158</v>
      </c>
      <c r="F138" t="s">
        <v>169</v>
      </c>
      <c r="G138">
        <v>-43897</v>
      </c>
      <c r="H138" t="s">
        <v>155</v>
      </c>
      <c r="I138" t="s">
        <v>65</v>
      </c>
    </row>
    <row r="139" spans="1:9">
      <c r="A139" s="41">
        <v>45639</v>
      </c>
      <c r="B139" s="42">
        <v>0.73524305555555558</v>
      </c>
      <c r="C139" t="s">
        <v>154</v>
      </c>
      <c r="D139" t="s">
        <v>38</v>
      </c>
      <c r="E139" t="s">
        <v>172</v>
      </c>
      <c r="F139" t="s">
        <v>200</v>
      </c>
      <c r="G139">
        <v>-440000</v>
      </c>
      <c r="H139" t="s">
        <v>155</v>
      </c>
      <c r="I139" t="s">
        <v>65</v>
      </c>
    </row>
    <row r="140" spans="1:9">
      <c r="A140" s="41">
        <v>45639</v>
      </c>
      <c r="B140" s="42">
        <v>0.64615740740740746</v>
      </c>
      <c r="C140" t="s">
        <v>156</v>
      </c>
      <c r="D140" t="s">
        <v>157</v>
      </c>
      <c r="E140" t="s">
        <v>158</v>
      </c>
      <c r="F140" t="s">
        <v>7</v>
      </c>
      <c r="G140">
        <v>1000000</v>
      </c>
      <c r="H140" t="s">
        <v>155</v>
      </c>
      <c r="I140" t="s">
        <v>65</v>
      </c>
    </row>
    <row r="141" spans="1:9">
      <c r="A141" s="41">
        <v>45639</v>
      </c>
      <c r="B141" s="42">
        <v>0.64178240740740744</v>
      </c>
      <c r="C141" t="s">
        <v>156</v>
      </c>
      <c r="D141" t="s">
        <v>156</v>
      </c>
      <c r="E141" t="s">
        <v>158</v>
      </c>
      <c r="F141" t="s">
        <v>201</v>
      </c>
      <c r="G141">
        <v>-550000</v>
      </c>
      <c r="H141" t="s">
        <v>155</v>
      </c>
      <c r="I141" t="s">
        <v>65</v>
      </c>
    </row>
    <row r="142" spans="1:9">
      <c r="A142" s="41">
        <v>45638</v>
      </c>
      <c r="B142" s="42">
        <v>0.45878472222222222</v>
      </c>
      <c r="C142" t="s">
        <v>156</v>
      </c>
      <c r="D142" t="s">
        <v>157</v>
      </c>
      <c r="E142" t="s">
        <v>158</v>
      </c>
      <c r="F142" t="s">
        <v>7</v>
      </c>
      <c r="G142">
        <v>-100000</v>
      </c>
      <c r="H142" t="s">
        <v>155</v>
      </c>
      <c r="I142" t="s">
        <v>65</v>
      </c>
    </row>
    <row r="143" spans="1:9">
      <c r="A143" s="41">
        <v>45638</v>
      </c>
      <c r="B143" s="42">
        <v>0.44668981481481479</v>
      </c>
      <c r="C143" t="s">
        <v>156</v>
      </c>
      <c r="D143" t="s">
        <v>157</v>
      </c>
      <c r="E143" t="s">
        <v>158</v>
      </c>
      <c r="F143" t="s">
        <v>7</v>
      </c>
      <c r="G143">
        <v>1000000</v>
      </c>
      <c r="H143" t="s">
        <v>155</v>
      </c>
      <c r="I143" t="s">
        <v>65</v>
      </c>
    </row>
    <row r="144" spans="1:9">
      <c r="A144" s="41">
        <v>45638</v>
      </c>
      <c r="B144" s="42">
        <v>0.44638888888888889</v>
      </c>
      <c r="C144" t="s">
        <v>156</v>
      </c>
      <c r="D144" t="s">
        <v>157</v>
      </c>
      <c r="E144" t="s">
        <v>158</v>
      </c>
      <c r="F144" t="s">
        <v>7</v>
      </c>
      <c r="G144">
        <v>3066860</v>
      </c>
      <c r="H144" t="s">
        <v>155</v>
      </c>
      <c r="I144" t="s">
        <v>65</v>
      </c>
    </row>
    <row r="145" spans="1:9">
      <c r="A145" s="41">
        <v>45638</v>
      </c>
      <c r="B145" s="42">
        <v>0.37587962962962962</v>
      </c>
      <c r="C145" t="s">
        <v>156</v>
      </c>
      <c r="D145" t="s">
        <v>156</v>
      </c>
      <c r="E145" t="s">
        <v>158</v>
      </c>
      <c r="F145" t="s">
        <v>159</v>
      </c>
      <c r="G145">
        <v>-10000</v>
      </c>
      <c r="H145" t="s">
        <v>155</v>
      </c>
      <c r="I145" t="s">
        <v>65</v>
      </c>
    </row>
    <row r="146" spans="1:9">
      <c r="A146" s="41">
        <v>45636</v>
      </c>
      <c r="B146" s="42">
        <v>0.70651620370370372</v>
      </c>
      <c r="C146" t="s">
        <v>156</v>
      </c>
      <c r="D146" t="s">
        <v>157</v>
      </c>
      <c r="E146" t="s">
        <v>158</v>
      </c>
      <c r="F146" t="s">
        <v>7</v>
      </c>
      <c r="G146">
        <v>1000000</v>
      </c>
      <c r="H146" t="s">
        <v>155</v>
      </c>
      <c r="I146" t="s">
        <v>65</v>
      </c>
    </row>
    <row r="147" spans="1:9">
      <c r="A147" s="41">
        <v>45633</v>
      </c>
      <c r="B147" s="42">
        <v>0.57347222222222227</v>
      </c>
      <c r="C147" t="s">
        <v>156</v>
      </c>
      <c r="D147" t="s">
        <v>157</v>
      </c>
      <c r="E147" t="s">
        <v>158</v>
      </c>
      <c r="F147" t="s">
        <v>7</v>
      </c>
      <c r="G147">
        <v>1000000</v>
      </c>
      <c r="H147" t="s">
        <v>155</v>
      </c>
      <c r="I147" t="s">
        <v>65</v>
      </c>
    </row>
    <row r="148" spans="1:9">
      <c r="A148" s="41">
        <v>45632</v>
      </c>
      <c r="B148" s="42">
        <v>0.79218750000000004</v>
      </c>
      <c r="C148" t="s">
        <v>154</v>
      </c>
      <c r="D148" t="s">
        <v>47</v>
      </c>
      <c r="E148" t="s">
        <v>177</v>
      </c>
      <c r="F148" t="s">
        <v>202</v>
      </c>
      <c r="G148">
        <v>-1600000</v>
      </c>
      <c r="H148" t="s">
        <v>155</v>
      </c>
      <c r="I148" t="s">
        <v>65</v>
      </c>
    </row>
    <row r="149" spans="1:9">
      <c r="A149" s="41">
        <v>45632</v>
      </c>
      <c r="B149" s="42">
        <v>0.76718750000000002</v>
      </c>
      <c r="C149" t="s">
        <v>156</v>
      </c>
      <c r="D149" t="s">
        <v>157</v>
      </c>
      <c r="E149" t="s">
        <v>158</v>
      </c>
      <c r="F149" t="s">
        <v>7</v>
      </c>
      <c r="G149">
        <v>-2000000</v>
      </c>
      <c r="H149" t="s">
        <v>155</v>
      </c>
      <c r="I149" t="s">
        <v>65</v>
      </c>
    </row>
    <row r="150" spans="1:9">
      <c r="A150" s="41">
        <v>45632</v>
      </c>
      <c r="B150" s="42">
        <v>0.28056712962962971</v>
      </c>
      <c r="C150" t="s">
        <v>156</v>
      </c>
      <c r="D150" t="s">
        <v>157</v>
      </c>
      <c r="E150" t="s">
        <v>158</v>
      </c>
      <c r="F150" t="s">
        <v>159</v>
      </c>
      <c r="G150">
        <v>-10000</v>
      </c>
      <c r="H150" t="s">
        <v>155</v>
      </c>
      <c r="I150" t="s">
        <v>65</v>
      </c>
    </row>
    <row r="151" spans="1:9">
      <c r="A151" s="41">
        <v>45628</v>
      </c>
      <c r="B151" s="42">
        <v>0.60311342592592587</v>
      </c>
      <c r="C151" t="s">
        <v>156</v>
      </c>
      <c r="D151" t="s">
        <v>156</v>
      </c>
      <c r="E151" t="s">
        <v>158</v>
      </c>
      <c r="F151" t="s">
        <v>160</v>
      </c>
      <c r="G151">
        <v>-232930</v>
      </c>
      <c r="H151" t="s">
        <v>155</v>
      </c>
      <c r="I151" t="s">
        <v>65</v>
      </c>
    </row>
    <row r="152" spans="1:9">
      <c r="A152" s="41">
        <v>45628</v>
      </c>
      <c r="B152" s="42">
        <v>0.6003356481481481</v>
      </c>
      <c r="C152" t="s">
        <v>156</v>
      </c>
      <c r="D152" t="s">
        <v>157</v>
      </c>
      <c r="E152" t="s">
        <v>158</v>
      </c>
      <c r="F152" t="s">
        <v>7</v>
      </c>
      <c r="G152">
        <v>-1300000</v>
      </c>
      <c r="H152" t="s">
        <v>155</v>
      </c>
      <c r="I152" t="s">
        <v>65</v>
      </c>
    </row>
    <row r="153" spans="1:9">
      <c r="A153" s="41">
        <v>45622</v>
      </c>
      <c r="B153" s="42">
        <v>1.172453703703704E-2</v>
      </c>
      <c r="C153" t="s">
        <v>156</v>
      </c>
      <c r="D153" t="s">
        <v>157</v>
      </c>
      <c r="E153" t="s">
        <v>158</v>
      </c>
      <c r="F153" t="s">
        <v>159</v>
      </c>
      <c r="G153">
        <v>-10000</v>
      </c>
      <c r="H153" t="s">
        <v>155</v>
      </c>
      <c r="I153" t="s">
        <v>65</v>
      </c>
    </row>
    <row r="154" spans="1:9">
      <c r="A154" s="41">
        <v>45621</v>
      </c>
      <c r="B154" s="42">
        <v>0.88802083333333337</v>
      </c>
      <c r="C154" t="s">
        <v>156</v>
      </c>
      <c r="D154" t="s">
        <v>157</v>
      </c>
      <c r="E154" t="s">
        <v>158</v>
      </c>
      <c r="F154" t="s">
        <v>7</v>
      </c>
      <c r="G154">
        <v>1000000</v>
      </c>
      <c r="H154" t="s">
        <v>155</v>
      </c>
      <c r="I154" t="s">
        <v>65</v>
      </c>
    </row>
    <row r="155" spans="1:9">
      <c r="A155" s="41">
        <v>45621</v>
      </c>
      <c r="B155" s="42">
        <v>0.77295138888888892</v>
      </c>
      <c r="C155" t="s">
        <v>154</v>
      </c>
      <c r="D155" t="s">
        <v>34</v>
      </c>
      <c r="E155" t="s">
        <v>164</v>
      </c>
      <c r="F155" t="s">
        <v>203</v>
      </c>
      <c r="G155">
        <v>-123360</v>
      </c>
      <c r="H155" t="s">
        <v>155</v>
      </c>
      <c r="I155" t="s">
        <v>65</v>
      </c>
    </row>
    <row r="156" spans="1:9">
      <c r="A156" s="41">
        <v>45616</v>
      </c>
      <c r="B156" s="42">
        <v>0.61896990740740743</v>
      </c>
      <c r="C156" t="s">
        <v>156</v>
      </c>
      <c r="D156" t="s">
        <v>157</v>
      </c>
      <c r="E156" t="s">
        <v>158</v>
      </c>
      <c r="F156" t="s">
        <v>159</v>
      </c>
      <c r="G156">
        <v>-10000</v>
      </c>
      <c r="H156" t="s">
        <v>155</v>
      </c>
      <c r="I156" t="s">
        <v>65</v>
      </c>
    </row>
    <row r="157" spans="1:9">
      <c r="A157" s="41">
        <v>45615</v>
      </c>
      <c r="B157" s="42">
        <v>0.36372685185185177</v>
      </c>
      <c r="C157" t="s">
        <v>156</v>
      </c>
      <c r="D157" t="s">
        <v>157</v>
      </c>
      <c r="E157" t="s">
        <v>158</v>
      </c>
      <c r="F157" t="s">
        <v>7</v>
      </c>
      <c r="G157">
        <v>-875314</v>
      </c>
      <c r="H157" t="s">
        <v>155</v>
      </c>
      <c r="I157" t="s">
        <v>65</v>
      </c>
    </row>
    <row r="158" spans="1:9">
      <c r="A158" s="41">
        <v>45611</v>
      </c>
      <c r="B158" s="42">
        <v>0.81331018518518516</v>
      </c>
      <c r="C158" t="s">
        <v>156</v>
      </c>
      <c r="D158" t="s">
        <v>157</v>
      </c>
      <c r="E158" t="s">
        <v>158</v>
      </c>
      <c r="F158" t="s">
        <v>7</v>
      </c>
      <c r="G158">
        <v>1166483</v>
      </c>
      <c r="H158" t="s">
        <v>155</v>
      </c>
      <c r="I158" t="s">
        <v>65</v>
      </c>
    </row>
    <row r="159" spans="1:9">
      <c r="A159" s="41">
        <v>45610</v>
      </c>
      <c r="B159" s="42">
        <v>0.75642361111111112</v>
      </c>
      <c r="C159" t="s">
        <v>154</v>
      </c>
      <c r="D159" t="s">
        <v>40</v>
      </c>
      <c r="E159" t="s">
        <v>176</v>
      </c>
      <c r="F159" t="s">
        <v>174</v>
      </c>
      <c r="G159">
        <v>-521399</v>
      </c>
      <c r="H159" t="s">
        <v>155</v>
      </c>
      <c r="I159" t="s">
        <v>65</v>
      </c>
    </row>
    <row r="160" spans="1:9">
      <c r="A160" s="41">
        <v>45608</v>
      </c>
      <c r="B160" s="42">
        <v>0.45881944444444439</v>
      </c>
      <c r="C160" t="s">
        <v>156</v>
      </c>
      <c r="D160" t="s">
        <v>157</v>
      </c>
      <c r="E160" t="s">
        <v>158</v>
      </c>
      <c r="F160" t="s">
        <v>7</v>
      </c>
      <c r="G160">
        <v>-100000</v>
      </c>
      <c r="H160" t="s">
        <v>155</v>
      </c>
      <c r="I160" t="s">
        <v>65</v>
      </c>
    </row>
    <row r="161" spans="1:9">
      <c r="A161" s="41">
        <v>45607</v>
      </c>
      <c r="B161" s="42">
        <v>0.88041666666666663</v>
      </c>
      <c r="C161" t="s">
        <v>156</v>
      </c>
      <c r="D161" t="s">
        <v>157</v>
      </c>
      <c r="E161" t="s">
        <v>158</v>
      </c>
      <c r="F161" t="s">
        <v>159</v>
      </c>
      <c r="G161">
        <v>-20890</v>
      </c>
      <c r="H161" t="s">
        <v>155</v>
      </c>
      <c r="I161" t="s">
        <v>65</v>
      </c>
    </row>
    <row r="162" spans="1:9">
      <c r="A162" s="41">
        <v>45607</v>
      </c>
      <c r="B162" s="42">
        <v>0.12591435185185179</v>
      </c>
      <c r="C162" t="s">
        <v>156</v>
      </c>
      <c r="D162" t="s">
        <v>156</v>
      </c>
      <c r="E162" t="s">
        <v>158</v>
      </c>
      <c r="F162" t="s">
        <v>169</v>
      </c>
      <c r="G162">
        <v>-31380</v>
      </c>
      <c r="H162" t="s">
        <v>155</v>
      </c>
      <c r="I162" t="s">
        <v>65</v>
      </c>
    </row>
    <row r="163" spans="1:9">
      <c r="A163" s="41">
        <v>45605</v>
      </c>
      <c r="B163" s="42">
        <v>0.44858796296296288</v>
      </c>
      <c r="C163" t="s">
        <v>156</v>
      </c>
      <c r="D163" t="s">
        <v>157</v>
      </c>
      <c r="E163" t="s">
        <v>158</v>
      </c>
      <c r="F163" t="s">
        <v>159</v>
      </c>
      <c r="G163">
        <v>-10000</v>
      </c>
      <c r="H163" t="s">
        <v>155</v>
      </c>
      <c r="I163" t="s">
        <v>65</v>
      </c>
    </row>
    <row r="164" spans="1:9">
      <c r="A164" s="41">
        <v>45602</v>
      </c>
      <c r="B164" s="42">
        <v>0.71054398148148146</v>
      </c>
      <c r="C164" t="s">
        <v>156</v>
      </c>
      <c r="D164" t="s">
        <v>157</v>
      </c>
      <c r="E164" t="s">
        <v>158</v>
      </c>
      <c r="F164" t="s">
        <v>7</v>
      </c>
      <c r="G164">
        <v>-490000</v>
      </c>
      <c r="H164" t="s">
        <v>155</v>
      </c>
      <c r="I164" t="s">
        <v>65</v>
      </c>
    </row>
    <row r="165" spans="1:9">
      <c r="A165" s="41">
        <v>45602</v>
      </c>
      <c r="B165" s="42">
        <v>0.28056712962962971</v>
      </c>
      <c r="C165" t="s">
        <v>156</v>
      </c>
      <c r="D165" t="s">
        <v>157</v>
      </c>
      <c r="E165" t="s">
        <v>158</v>
      </c>
      <c r="F165" t="s">
        <v>159</v>
      </c>
      <c r="G165">
        <v>-10000</v>
      </c>
      <c r="H165" t="s">
        <v>155</v>
      </c>
      <c r="I165" t="s">
        <v>65</v>
      </c>
    </row>
    <row r="166" spans="1:9">
      <c r="A166" s="41">
        <v>45597</v>
      </c>
      <c r="B166" s="42">
        <v>0.4365162037037037</v>
      </c>
      <c r="C166" t="s">
        <v>156</v>
      </c>
      <c r="D166" t="s">
        <v>157</v>
      </c>
      <c r="E166" t="s">
        <v>158</v>
      </c>
      <c r="F166" t="s">
        <v>7</v>
      </c>
      <c r="G166">
        <v>-774290</v>
      </c>
      <c r="H166" t="s">
        <v>155</v>
      </c>
      <c r="I166" t="s">
        <v>65</v>
      </c>
    </row>
    <row r="167" spans="1:9">
      <c r="A167" s="41">
        <v>45597</v>
      </c>
      <c r="B167" s="42">
        <v>0.43611111111111112</v>
      </c>
      <c r="C167" t="s">
        <v>156</v>
      </c>
      <c r="D167" t="s">
        <v>157</v>
      </c>
      <c r="E167" t="s">
        <v>158</v>
      </c>
      <c r="F167" t="s">
        <v>7</v>
      </c>
      <c r="G167">
        <v>5330</v>
      </c>
      <c r="H167" t="s">
        <v>155</v>
      </c>
      <c r="I167" t="s">
        <v>65</v>
      </c>
    </row>
    <row r="168" spans="1:9">
      <c r="A168" s="41">
        <v>45595</v>
      </c>
      <c r="B168" s="42">
        <v>0.80081018518518521</v>
      </c>
      <c r="C168" t="s">
        <v>156</v>
      </c>
      <c r="D168" t="s">
        <v>157</v>
      </c>
      <c r="E168" t="s">
        <v>158</v>
      </c>
      <c r="F168" t="s">
        <v>7</v>
      </c>
      <c r="G168">
        <v>2000000</v>
      </c>
      <c r="H168" t="s">
        <v>155</v>
      </c>
      <c r="I168" t="s">
        <v>65</v>
      </c>
    </row>
    <row r="169" spans="1:9">
      <c r="A169" s="41">
        <v>45591</v>
      </c>
      <c r="B169" s="42">
        <v>0.88394675925925925</v>
      </c>
      <c r="C169" t="s">
        <v>156</v>
      </c>
      <c r="D169" t="s">
        <v>156</v>
      </c>
      <c r="E169" t="s">
        <v>158</v>
      </c>
      <c r="F169" t="s">
        <v>159</v>
      </c>
      <c r="G169">
        <v>-40000</v>
      </c>
      <c r="H169" t="s">
        <v>155</v>
      </c>
      <c r="I169" t="s">
        <v>65</v>
      </c>
    </row>
    <row r="170" spans="1:9">
      <c r="A170" s="41">
        <v>45590</v>
      </c>
      <c r="B170" s="42">
        <v>0.76854166666666668</v>
      </c>
      <c r="C170" t="s">
        <v>154</v>
      </c>
      <c r="D170" t="s">
        <v>34</v>
      </c>
      <c r="E170" t="s">
        <v>164</v>
      </c>
      <c r="F170" t="s">
        <v>204</v>
      </c>
      <c r="G170">
        <v>-123140</v>
      </c>
      <c r="H170" t="s">
        <v>155</v>
      </c>
      <c r="I170" t="s">
        <v>65</v>
      </c>
    </row>
    <row r="171" spans="1:9">
      <c r="A171" s="41">
        <v>45589</v>
      </c>
      <c r="B171" s="42">
        <v>0.49274305555555548</v>
      </c>
      <c r="C171" t="s">
        <v>156</v>
      </c>
      <c r="D171" t="s">
        <v>157</v>
      </c>
      <c r="E171" t="s">
        <v>158</v>
      </c>
      <c r="F171" t="s">
        <v>159</v>
      </c>
      <c r="G171">
        <v>-34900</v>
      </c>
      <c r="H171" t="s">
        <v>155</v>
      </c>
      <c r="I171" t="s">
        <v>65</v>
      </c>
    </row>
    <row r="172" spans="1:9">
      <c r="A172" s="41">
        <v>45585</v>
      </c>
      <c r="B172" s="42">
        <v>0.57572916666666663</v>
      </c>
      <c r="C172" t="s">
        <v>156</v>
      </c>
      <c r="D172" t="s">
        <v>157</v>
      </c>
      <c r="E172" t="s">
        <v>158</v>
      </c>
      <c r="F172" t="s">
        <v>159</v>
      </c>
      <c r="G172">
        <v>-10000</v>
      </c>
      <c r="H172" t="s">
        <v>155</v>
      </c>
      <c r="I172" t="s">
        <v>65</v>
      </c>
    </row>
    <row r="173" spans="1:9">
      <c r="A173" s="41">
        <v>45585</v>
      </c>
      <c r="B173" s="42">
        <v>0.55215277777777783</v>
      </c>
      <c r="C173" t="s">
        <v>156</v>
      </c>
      <c r="D173" t="s">
        <v>157</v>
      </c>
      <c r="E173" t="s">
        <v>158</v>
      </c>
      <c r="F173" t="s">
        <v>7</v>
      </c>
      <c r="G173">
        <v>-1000000</v>
      </c>
      <c r="H173" t="s">
        <v>155</v>
      </c>
      <c r="I173" t="s">
        <v>65</v>
      </c>
    </row>
    <row r="174" spans="1:9">
      <c r="A174" s="41">
        <v>45584</v>
      </c>
      <c r="B174" s="42">
        <v>0.90361111111111114</v>
      </c>
      <c r="C174" t="s">
        <v>156</v>
      </c>
      <c r="D174" t="s">
        <v>157</v>
      </c>
      <c r="E174" t="s">
        <v>158</v>
      </c>
      <c r="F174" t="s">
        <v>159</v>
      </c>
      <c r="G174">
        <v>-10000</v>
      </c>
      <c r="H174" t="s">
        <v>155</v>
      </c>
      <c r="I174" t="s">
        <v>65</v>
      </c>
    </row>
    <row r="175" spans="1:9">
      <c r="A175" s="41">
        <v>45584</v>
      </c>
      <c r="B175" s="42">
        <v>0.49288194444444439</v>
      </c>
      <c r="C175" t="s">
        <v>156</v>
      </c>
      <c r="D175" t="s">
        <v>157</v>
      </c>
      <c r="E175" t="s">
        <v>158</v>
      </c>
      <c r="F175" t="s">
        <v>7</v>
      </c>
      <c r="G175">
        <v>-526192</v>
      </c>
      <c r="H175" t="s">
        <v>155</v>
      </c>
      <c r="I175" t="s">
        <v>65</v>
      </c>
    </row>
    <row r="176" spans="1:9">
      <c r="A176" s="41">
        <v>45584</v>
      </c>
      <c r="B176" s="42">
        <v>0.49231481481481482</v>
      </c>
      <c r="C176" t="s">
        <v>156</v>
      </c>
      <c r="D176" t="s">
        <v>157</v>
      </c>
      <c r="E176" t="s">
        <v>158</v>
      </c>
      <c r="F176" t="s">
        <v>7</v>
      </c>
      <c r="G176">
        <v>195528</v>
      </c>
      <c r="H176" t="s">
        <v>155</v>
      </c>
      <c r="I176" t="s">
        <v>65</v>
      </c>
    </row>
    <row r="177" spans="1:9">
      <c r="A177" s="41">
        <v>45579</v>
      </c>
      <c r="B177" s="42">
        <v>0.75896990740740744</v>
      </c>
      <c r="C177" t="s">
        <v>154</v>
      </c>
      <c r="D177" t="s">
        <v>40</v>
      </c>
      <c r="E177" t="s">
        <v>176</v>
      </c>
      <c r="F177" t="s">
        <v>174</v>
      </c>
      <c r="G177">
        <v>-521399</v>
      </c>
      <c r="H177" t="s">
        <v>155</v>
      </c>
      <c r="I177" t="s">
        <v>65</v>
      </c>
    </row>
    <row r="178" spans="1:9">
      <c r="A178" s="41">
        <v>45579</v>
      </c>
      <c r="B178" s="42">
        <v>0.12587962962962959</v>
      </c>
      <c r="C178" t="s">
        <v>156</v>
      </c>
      <c r="D178" t="s">
        <v>156</v>
      </c>
      <c r="E178" t="s">
        <v>158</v>
      </c>
      <c r="F178" t="s">
        <v>169</v>
      </c>
      <c r="G178">
        <v>-22437</v>
      </c>
      <c r="H178" t="s">
        <v>155</v>
      </c>
      <c r="I178" t="s">
        <v>65</v>
      </c>
    </row>
    <row r="179" spans="1:9">
      <c r="A179" s="41">
        <v>45578</v>
      </c>
      <c r="B179" s="42">
        <v>0.33355324074074072</v>
      </c>
      <c r="C179" t="s">
        <v>156</v>
      </c>
      <c r="D179" t="s">
        <v>157</v>
      </c>
      <c r="E179" t="s">
        <v>158</v>
      </c>
      <c r="F179" t="s">
        <v>159</v>
      </c>
      <c r="G179">
        <v>-15500</v>
      </c>
      <c r="H179" t="s">
        <v>155</v>
      </c>
      <c r="I179" t="s">
        <v>65</v>
      </c>
    </row>
    <row r="180" spans="1:9">
      <c r="A180" s="41">
        <v>45577</v>
      </c>
      <c r="B180" s="42">
        <v>0.61716435185185181</v>
      </c>
      <c r="C180" t="s">
        <v>156</v>
      </c>
      <c r="D180" t="s">
        <v>157</v>
      </c>
      <c r="E180" t="s">
        <v>158</v>
      </c>
      <c r="F180" t="s">
        <v>7</v>
      </c>
      <c r="G180">
        <v>-100000</v>
      </c>
      <c r="H180" t="s">
        <v>155</v>
      </c>
      <c r="I180" t="s">
        <v>65</v>
      </c>
    </row>
    <row r="181" spans="1:9">
      <c r="A181" s="41">
        <v>45577</v>
      </c>
      <c r="B181" s="42">
        <v>0.55475694444444446</v>
      </c>
      <c r="C181" t="s">
        <v>156</v>
      </c>
      <c r="D181" t="s">
        <v>157</v>
      </c>
      <c r="E181" t="s">
        <v>158</v>
      </c>
      <c r="F181" t="s">
        <v>159</v>
      </c>
      <c r="G181">
        <v>-10000</v>
      </c>
      <c r="H181" t="s">
        <v>155</v>
      </c>
      <c r="I181" t="s">
        <v>65</v>
      </c>
    </row>
    <row r="182" spans="1:9">
      <c r="A182" s="41">
        <v>45576</v>
      </c>
      <c r="B182" s="42">
        <v>0.69141203703703702</v>
      </c>
      <c r="C182" t="s">
        <v>156</v>
      </c>
      <c r="D182" t="s">
        <v>157</v>
      </c>
      <c r="E182" t="s">
        <v>158</v>
      </c>
      <c r="F182" t="s">
        <v>7</v>
      </c>
      <c r="G182">
        <v>-69356</v>
      </c>
      <c r="H182" t="s">
        <v>155</v>
      </c>
      <c r="I182" t="s">
        <v>65</v>
      </c>
    </row>
    <row r="183" spans="1:9">
      <c r="A183" s="41">
        <v>45576</v>
      </c>
      <c r="B183" s="42">
        <v>0.69097222222222221</v>
      </c>
      <c r="C183" t="s">
        <v>156</v>
      </c>
      <c r="D183" t="s">
        <v>157</v>
      </c>
      <c r="E183" t="s">
        <v>158</v>
      </c>
      <c r="F183" t="s">
        <v>7</v>
      </c>
      <c r="G183">
        <v>1084180</v>
      </c>
      <c r="H183" t="s">
        <v>155</v>
      </c>
      <c r="I183" t="s">
        <v>65</v>
      </c>
    </row>
    <row r="184" spans="1:9">
      <c r="A184" s="41">
        <v>45576</v>
      </c>
      <c r="B184" s="42">
        <v>0.1302777777777778</v>
      </c>
      <c r="C184" t="s">
        <v>156</v>
      </c>
      <c r="D184" t="s">
        <v>157</v>
      </c>
      <c r="E184" t="s">
        <v>158</v>
      </c>
      <c r="F184" t="s">
        <v>159</v>
      </c>
      <c r="G184">
        <v>-19090</v>
      </c>
      <c r="H184" t="s">
        <v>155</v>
      </c>
      <c r="I184" t="s">
        <v>65</v>
      </c>
    </row>
    <row r="185" spans="1:9">
      <c r="A185" s="41">
        <v>45574</v>
      </c>
      <c r="B185" s="42">
        <v>0.86274305555555553</v>
      </c>
      <c r="C185" t="s">
        <v>156</v>
      </c>
      <c r="D185" t="s">
        <v>157</v>
      </c>
      <c r="E185" t="s">
        <v>158</v>
      </c>
      <c r="F185" t="s">
        <v>7</v>
      </c>
      <c r="G185">
        <v>-550000</v>
      </c>
      <c r="H185" t="s">
        <v>155</v>
      </c>
      <c r="I185" t="s">
        <v>65</v>
      </c>
    </row>
    <row r="186" spans="1:9">
      <c r="A186" s="41">
        <v>45573</v>
      </c>
      <c r="B186" s="42">
        <v>0.84143518518518523</v>
      </c>
      <c r="C186" t="s">
        <v>156</v>
      </c>
      <c r="D186" t="s">
        <v>157</v>
      </c>
      <c r="E186" t="s">
        <v>158</v>
      </c>
      <c r="F186" t="s">
        <v>159</v>
      </c>
      <c r="G186">
        <v>-10000</v>
      </c>
      <c r="H186" t="s">
        <v>155</v>
      </c>
      <c r="I186" t="s">
        <v>65</v>
      </c>
    </row>
    <row r="187" spans="1:9">
      <c r="A187" s="41">
        <v>45573</v>
      </c>
      <c r="B187" s="42">
        <v>0.83168981481481485</v>
      </c>
      <c r="C187" t="s">
        <v>156</v>
      </c>
      <c r="D187" t="s">
        <v>157</v>
      </c>
      <c r="E187" t="s">
        <v>158</v>
      </c>
      <c r="F187" t="s">
        <v>159</v>
      </c>
      <c r="G187">
        <v>-10000</v>
      </c>
      <c r="H187" t="s">
        <v>155</v>
      </c>
      <c r="I187" t="s">
        <v>65</v>
      </c>
    </row>
    <row r="188" spans="1:9">
      <c r="A188" s="41">
        <v>45571</v>
      </c>
      <c r="B188" s="42">
        <v>0.84283564814814815</v>
      </c>
      <c r="C188" t="s">
        <v>156</v>
      </c>
      <c r="D188" t="s">
        <v>157</v>
      </c>
      <c r="E188" t="s">
        <v>158</v>
      </c>
      <c r="F188" t="s">
        <v>159</v>
      </c>
      <c r="G188">
        <v>-10000</v>
      </c>
      <c r="H188" t="s">
        <v>155</v>
      </c>
      <c r="I188" t="s">
        <v>65</v>
      </c>
    </row>
    <row r="189" spans="1:9">
      <c r="A189" s="41">
        <v>45571</v>
      </c>
      <c r="B189" s="42">
        <v>0.77550925925925929</v>
      </c>
      <c r="C189" t="s">
        <v>156</v>
      </c>
      <c r="D189" t="s">
        <v>157</v>
      </c>
      <c r="E189" t="s">
        <v>158</v>
      </c>
      <c r="F189" t="s">
        <v>159</v>
      </c>
      <c r="G189">
        <v>-10000</v>
      </c>
      <c r="H189" t="s">
        <v>155</v>
      </c>
      <c r="I189" t="s">
        <v>65</v>
      </c>
    </row>
    <row r="190" spans="1:9">
      <c r="A190" s="41">
        <v>45569</v>
      </c>
      <c r="B190" s="42">
        <v>0.70648148148148149</v>
      </c>
      <c r="C190" t="s">
        <v>156</v>
      </c>
      <c r="D190" t="s">
        <v>156</v>
      </c>
      <c r="E190" t="s">
        <v>158</v>
      </c>
      <c r="F190" t="s">
        <v>160</v>
      </c>
      <c r="G190">
        <v>-342390</v>
      </c>
      <c r="H190" t="s">
        <v>155</v>
      </c>
      <c r="I190" t="s">
        <v>65</v>
      </c>
    </row>
    <row r="191" spans="1:9">
      <c r="A191" s="41">
        <v>45567</v>
      </c>
      <c r="B191" s="42">
        <v>0.43655092592592593</v>
      </c>
      <c r="C191" t="s">
        <v>156</v>
      </c>
      <c r="D191" t="s">
        <v>157</v>
      </c>
      <c r="E191" t="s">
        <v>158</v>
      </c>
      <c r="F191" t="s">
        <v>7</v>
      </c>
      <c r="G191">
        <v>-1200000</v>
      </c>
      <c r="H191" t="s">
        <v>155</v>
      </c>
      <c r="I191" t="s">
        <v>65</v>
      </c>
    </row>
    <row r="192" spans="1:9">
      <c r="A192" s="41">
        <v>45562</v>
      </c>
      <c r="B192" s="42">
        <v>0.63680555555555551</v>
      </c>
      <c r="C192" t="s">
        <v>156</v>
      </c>
      <c r="D192" t="s">
        <v>157</v>
      </c>
      <c r="E192" t="s">
        <v>158</v>
      </c>
      <c r="F192" t="s">
        <v>197</v>
      </c>
      <c r="G192">
        <v>-427770</v>
      </c>
      <c r="H192" t="s">
        <v>155</v>
      </c>
      <c r="I192" t="s">
        <v>65</v>
      </c>
    </row>
    <row r="193" spans="1:9">
      <c r="A193" s="41">
        <v>45560</v>
      </c>
      <c r="B193" s="42">
        <v>0.76925925925925931</v>
      </c>
      <c r="C193" t="s">
        <v>154</v>
      </c>
      <c r="D193" t="s">
        <v>41</v>
      </c>
      <c r="E193" t="s">
        <v>170</v>
      </c>
      <c r="F193" t="s">
        <v>205</v>
      </c>
      <c r="G193">
        <v>-131090</v>
      </c>
      <c r="H193" t="s">
        <v>155</v>
      </c>
      <c r="I193" t="s">
        <v>65</v>
      </c>
    </row>
    <row r="194" spans="1:9">
      <c r="A194" s="41">
        <v>45560</v>
      </c>
      <c r="B194" s="42">
        <v>0.57788194444444441</v>
      </c>
      <c r="C194" t="s">
        <v>156</v>
      </c>
      <c r="D194" t="s">
        <v>157</v>
      </c>
      <c r="E194" t="s">
        <v>158</v>
      </c>
      <c r="F194" t="s">
        <v>7</v>
      </c>
      <c r="G194">
        <v>1616780</v>
      </c>
      <c r="H194" t="s">
        <v>155</v>
      </c>
      <c r="I194" t="s">
        <v>65</v>
      </c>
    </row>
    <row r="195" spans="1:9">
      <c r="A195" s="41">
        <v>45558</v>
      </c>
      <c r="B195" s="42">
        <v>0.61466435185185186</v>
      </c>
      <c r="C195" t="s">
        <v>156</v>
      </c>
      <c r="D195" t="s">
        <v>157</v>
      </c>
      <c r="E195" t="s">
        <v>158</v>
      </c>
      <c r="F195" t="s">
        <v>7</v>
      </c>
      <c r="G195">
        <v>1088736</v>
      </c>
      <c r="H195" t="s">
        <v>155</v>
      </c>
      <c r="I195" t="s">
        <v>65</v>
      </c>
    </row>
    <row r="196" spans="1:9">
      <c r="A196" s="41">
        <v>45558</v>
      </c>
      <c r="B196" s="42">
        <v>0.61398148148148146</v>
      </c>
      <c r="C196" t="s">
        <v>156</v>
      </c>
      <c r="D196" t="s">
        <v>157</v>
      </c>
      <c r="E196" t="s">
        <v>158</v>
      </c>
      <c r="F196" t="s">
        <v>7</v>
      </c>
      <c r="G196">
        <v>-1000000</v>
      </c>
      <c r="H196" t="s">
        <v>155</v>
      </c>
      <c r="I196" t="s">
        <v>65</v>
      </c>
    </row>
    <row r="197" spans="1:9">
      <c r="A197" s="41">
        <v>45558</v>
      </c>
      <c r="B197" s="42">
        <v>0.35347222222222219</v>
      </c>
      <c r="C197" t="s">
        <v>156</v>
      </c>
      <c r="D197" t="s">
        <v>157</v>
      </c>
      <c r="E197" t="s">
        <v>158</v>
      </c>
      <c r="F197" t="s">
        <v>7</v>
      </c>
      <c r="G197">
        <v>598372</v>
      </c>
      <c r="H197" t="s">
        <v>155</v>
      </c>
      <c r="I197" t="s">
        <v>65</v>
      </c>
    </row>
    <row r="198" spans="1:9">
      <c r="A198" s="41">
        <v>45555</v>
      </c>
      <c r="B198" s="42">
        <v>0.45310185185185192</v>
      </c>
      <c r="C198" t="s">
        <v>156</v>
      </c>
      <c r="D198" t="s">
        <v>157</v>
      </c>
      <c r="E198" t="s">
        <v>158</v>
      </c>
      <c r="F198" t="s">
        <v>7</v>
      </c>
      <c r="G198">
        <v>-400000</v>
      </c>
      <c r="H198" t="s">
        <v>155</v>
      </c>
      <c r="I198" t="s">
        <v>65</v>
      </c>
    </row>
    <row r="199" spans="1:9">
      <c r="A199" s="41">
        <v>45554</v>
      </c>
      <c r="B199" s="42">
        <v>0.75824074074074077</v>
      </c>
      <c r="C199" t="s">
        <v>154</v>
      </c>
      <c r="D199" t="s">
        <v>40</v>
      </c>
      <c r="E199" t="s">
        <v>176</v>
      </c>
      <c r="F199" t="s">
        <v>174</v>
      </c>
      <c r="G199">
        <v>-521399</v>
      </c>
      <c r="H199" t="s">
        <v>155</v>
      </c>
      <c r="I199" t="s">
        <v>65</v>
      </c>
    </row>
    <row r="200" spans="1:9">
      <c r="A200" s="41">
        <v>45554</v>
      </c>
      <c r="B200" s="42">
        <v>0.12665509259259261</v>
      </c>
      <c r="C200" t="s">
        <v>156</v>
      </c>
      <c r="D200" t="s">
        <v>156</v>
      </c>
      <c r="E200" t="s">
        <v>158</v>
      </c>
      <c r="F200" t="s">
        <v>169</v>
      </c>
      <c r="G200">
        <v>-31688</v>
      </c>
      <c r="H200" t="s">
        <v>155</v>
      </c>
      <c r="I200" t="s">
        <v>65</v>
      </c>
    </row>
    <row r="201" spans="1:9">
      <c r="A201" s="41">
        <v>45547</v>
      </c>
      <c r="B201" s="42">
        <v>0.45876157407407409</v>
      </c>
      <c r="C201" t="s">
        <v>156</v>
      </c>
      <c r="D201" t="s">
        <v>157</v>
      </c>
      <c r="E201" t="s">
        <v>158</v>
      </c>
      <c r="F201" t="s">
        <v>7</v>
      </c>
      <c r="G201">
        <v>-100000</v>
      </c>
      <c r="H201" t="s">
        <v>155</v>
      </c>
      <c r="I201" t="s">
        <v>65</v>
      </c>
    </row>
    <row r="202" spans="1:9">
      <c r="A202" s="41">
        <v>45547</v>
      </c>
      <c r="B202" s="42">
        <v>0.38226851851851851</v>
      </c>
      <c r="C202" t="s">
        <v>156</v>
      </c>
      <c r="D202" t="s">
        <v>157</v>
      </c>
      <c r="E202" t="s">
        <v>158</v>
      </c>
      <c r="F202" t="s">
        <v>7</v>
      </c>
      <c r="G202">
        <v>2148890</v>
      </c>
      <c r="H202" t="s">
        <v>155</v>
      </c>
      <c r="I202" t="s">
        <v>65</v>
      </c>
    </row>
  </sheetData>
  <autoFilter ref="A1:J202" xr:uid="{00000000-0001-0000-0100-000000000000}">
    <sortState xmlns:xlrd2="http://schemas.microsoft.com/office/spreadsheetml/2017/richdata2" ref="A2:J202">
      <sortCondition ref="I1:I202"/>
    </sortState>
  </autoFilter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Cynthia Williams</cp:lastModifiedBy>
  <dcterms:created xsi:type="dcterms:W3CDTF">2025-09-08T16:52:16Z</dcterms:created>
  <dcterms:modified xsi:type="dcterms:W3CDTF">2025-10-07T03:31:03Z</dcterms:modified>
</cp:coreProperties>
</file>