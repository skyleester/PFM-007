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hocheon/Documents/Studies/code/Personal Finance Manager Projects/005/"/>
    </mc:Choice>
  </mc:AlternateContent>
  <xr:revisionPtr revIDLastSave="0" documentId="13_ncr:1_{E8D690D0-0203-C04D-B800-D92EFBFB1DCA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뱅샐현황" sheetId="1" r:id="rId1"/>
    <sheet name="가계부 내역" sheetId="2" r:id="rId2"/>
    <sheet name="Sheet1" sheetId="3" r:id="rId3"/>
  </sheets>
  <definedNames>
    <definedName name="_xlnm._FilterDatabase" localSheetId="1" hidden="1">'가계부 내역'!$A$1:$J$1</definedName>
    <definedName name="_xlnm._FilterDatabase" localSheetId="2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M2" i="3"/>
  <c r="L2" i="3"/>
  <c r="G116" i="1"/>
  <c r="F116" i="1"/>
  <c r="D116" i="1"/>
  <c r="H106" i="1"/>
  <c r="G106" i="1"/>
  <c r="F106" i="1"/>
  <c r="F88" i="1"/>
  <c r="I77" i="1"/>
  <c r="E77" i="1"/>
  <c r="B79" i="1" s="1"/>
  <c r="Q32" i="1"/>
  <c r="P32" i="1"/>
  <c r="O32" i="1"/>
  <c r="N32" i="1"/>
  <c r="M32" i="1"/>
  <c r="L32" i="1"/>
  <c r="K32" i="1"/>
  <c r="J32" i="1"/>
  <c r="I32" i="1"/>
  <c r="H32" i="1"/>
  <c r="G32" i="1"/>
  <c r="F32" i="1"/>
  <c r="C32" i="1" s="1"/>
  <c r="D32" i="1" s="1"/>
  <c r="E32" i="1"/>
  <c r="D31" i="1"/>
  <c r="C31" i="1"/>
  <c r="C30" i="1"/>
  <c r="D30" i="1" s="1"/>
  <c r="C29" i="1"/>
  <c r="D29" i="1" s="1"/>
  <c r="C28" i="1"/>
  <c r="D28" i="1" s="1"/>
  <c r="C27" i="1"/>
  <c r="D27" i="1" s="1"/>
  <c r="C26" i="1"/>
  <c r="D26" i="1" s="1"/>
  <c r="D25" i="1"/>
  <c r="C25" i="1"/>
  <c r="C24" i="1"/>
  <c r="D24" i="1" s="1"/>
  <c r="C23" i="1"/>
  <c r="D23" i="1" s="1"/>
  <c r="C22" i="1"/>
  <c r="D22" i="1" s="1"/>
  <c r="C21" i="1"/>
  <c r="D21" i="1" s="1"/>
  <c r="C20" i="1"/>
  <c r="D20" i="1" s="1"/>
  <c r="D19" i="1"/>
  <c r="C19" i="1"/>
  <c r="C18" i="1"/>
  <c r="D18" i="1" s="1"/>
  <c r="C17" i="1"/>
  <c r="D17" i="1" s="1"/>
  <c r="C16" i="1"/>
  <c r="D16" i="1" s="1"/>
  <c r="C15" i="1"/>
  <c r="D15" i="1" s="1"/>
  <c r="Q14" i="1"/>
  <c r="Q33" i="1" s="1"/>
  <c r="P14" i="1"/>
  <c r="P33" i="1" s="1"/>
  <c r="O14" i="1"/>
  <c r="O33" i="1" s="1"/>
  <c r="N14" i="1"/>
  <c r="N33" i="1" s="1"/>
  <c r="M14" i="1"/>
  <c r="M33" i="1" s="1"/>
  <c r="L14" i="1"/>
  <c r="L33" i="1" s="1"/>
  <c r="K14" i="1"/>
  <c r="K33" i="1" s="1"/>
  <c r="J14" i="1"/>
  <c r="J33" i="1" s="1"/>
  <c r="I14" i="1"/>
  <c r="I33" i="1" s="1"/>
  <c r="H14" i="1"/>
  <c r="H33" i="1" s="1"/>
  <c r="G14" i="1"/>
  <c r="G33" i="1" s="1"/>
  <c r="F14" i="1"/>
  <c r="F33" i="1" s="1"/>
  <c r="E14" i="1"/>
  <c r="E33" i="1" s="1"/>
  <c r="D13" i="1"/>
  <c r="C13" i="1"/>
  <c r="C12" i="1"/>
  <c r="D12" i="1" s="1"/>
  <c r="L36" i="3" l="1"/>
  <c r="M36" i="3"/>
  <c r="C33" i="1"/>
  <c r="D33" i="1" s="1"/>
  <c r="C14" i="1"/>
  <c r="D14" i="1" s="1"/>
</calcChain>
</file>

<file path=xl/sharedStrings.xml><?xml version="1.0" encoding="utf-8"?>
<sst xmlns="http://schemas.openxmlformats.org/spreadsheetml/2006/main" count="1677" uniqueCount="197">
  <si>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</si>
  <si>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</si>
  <si>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</si>
  <si>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</si>
  <si>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</si>
  <si>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</si>
  <si>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</si>
  <si>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</si>
  <si>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</si>
  <si>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</si>
  <si>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</si>
  <si>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</si>
  <si>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</si>
  <si>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</si>
  <si>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</si>
  <si>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</si>
  <si>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</si>
  <si>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</si>
  <si>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</si>
  <si>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</si>
  <si>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</si>
  <si>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</si>
  <si>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</si>
  <si>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</si>
  <si>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</si>
  <si>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</si>
  <si>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</si>
  <si>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</si>
  <si>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</si>
  <si>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</si>
  <si>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</si>
  <si>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</si>
  <si>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</si>
  <si>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</si>
  <si>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</si>
  <si>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</si>
  <si>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</si>
  <si>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</si>
  <si>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</si>
  <si>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</si>
  <si>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</si>
  <si>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</si>
  <si>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</si>
  <si>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</si>
  <si>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</si>
  <si>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</si>
  <si>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</si>
  <si>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</si>
  <si>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</si>
  <si>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</si>
  <si>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</si>
  <si>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</si>
  <si>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</si>
  <si>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</si>
  <si>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</si>
  <si>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</si>
  <si>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</si>
  <si>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</si>
  <si>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</si>
  <si>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</si>
  <si>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</si>
  <si>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</si>
  <si>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</si>
  <si>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</si>
  <si>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</si>
  <si>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</si>
  <si>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</si>
  <si>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</si>
  <si>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</si>
  <si>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</si>
  <si>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</si>
  <si>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</si>
  <si>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</si>
  <si>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</si>
  <si>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</si>
  <si>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페이코포인트 - ko******@gmail.com</t>
  </si>
  <si>
    <t>투자성 자산</t>
  </si>
  <si>
    <t>WisdomTree Dynamic Currency Intl ETF</t>
  </si>
  <si>
    <t>와이어하우저</t>
  </si>
  <si>
    <t>진양폴리</t>
  </si>
  <si>
    <t>HD현대중공업</t>
  </si>
  <si>
    <t>아이셰어즈 0-3개월 미국 국채 ETF</t>
  </si>
  <si>
    <t>경남제약</t>
  </si>
  <si>
    <t>피앤씨테크</t>
  </si>
  <si>
    <t>NICE인프라</t>
  </si>
  <si>
    <t>신성이엔지</t>
  </si>
  <si>
    <t>CMA계좌</t>
  </si>
  <si>
    <t>위탁</t>
  </si>
  <si>
    <t>종합매매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</si>
  <si>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</si>
  <si>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</si>
  <si>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</si>
  <si>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</si>
  <si>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</si>
  <si>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</si>
  <si>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</si>
  <si>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</si>
  <si>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</si>
  <si>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</si>
  <si>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</si>
  <si>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</si>
  <si>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</si>
  <si>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</si>
  <si>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</si>
  <si>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</si>
  <si>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</si>
  <si>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</si>
  <si>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</si>
  <si>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</si>
  <si>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</si>
  <si>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</si>
  <si>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</si>
  <si>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</si>
  <si>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</si>
  <si>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</si>
  <si>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</si>
  <si>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</si>
  <si>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</si>
  <si>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</si>
  <si>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</si>
  <si>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</si>
  <si>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</si>
  <si>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</si>
  <si>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</si>
  <si>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</si>
  <si>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</si>
  <si>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</si>
  <si>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</si>
  <si>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</si>
  <si>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</si>
  <si>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</si>
  <si>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</si>
  <si>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</si>
  <si>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</si>
  <si>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</si>
  <si>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</si>
  <si>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</si>
  <si>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</si>
  <si>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</si>
  <si>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</si>
  <si>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</si>
  <si>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</si>
  <si>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</si>
  <si>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</si>
  <si>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</si>
  <si>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</si>
  <si>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</si>
  <si>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</si>
  <si>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</si>
  <si>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</si>
  <si>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</si>
  <si>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</si>
  <si>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</si>
  <si>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</si>
  <si>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</si>
  <si>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</si>
  <si>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KRW</t>
  </si>
  <si>
    <t>이체</t>
  </si>
  <si>
    <t>내계좌이체</t>
  </si>
  <si>
    <t>미분류</t>
  </si>
  <si>
    <t>관리비</t>
  </si>
  <si>
    <t>송파시그니처롯데캐슬</t>
  </si>
  <si>
    <t>입금 내역</t>
  </si>
  <si>
    <t>대출결산이자</t>
  </si>
  <si>
    <t>송파시그니처롯데캐슬입주자대표회의</t>
  </si>
  <si>
    <t>39191144530007</t>
  </si>
  <si>
    <t>인터넷쇼핑</t>
  </si>
  <si>
    <t>주식회사 카카오</t>
  </si>
  <si>
    <t>카카오페이 간편결제</t>
  </si>
  <si>
    <t>음악</t>
  </si>
  <si>
    <t>ALIPAY CONNECT PTE. LTD</t>
  </si>
  <si>
    <t>앱스토어</t>
  </si>
  <si>
    <t>Apple Inc</t>
  </si>
  <si>
    <t>보험</t>
  </si>
  <si>
    <t>엔에이치엔케이씨피 주식회사</t>
  </si>
  <si>
    <t>여행</t>
  </si>
  <si>
    <t>주식회사 제주페이</t>
  </si>
  <si>
    <t>결제/충전</t>
  </si>
  <si>
    <t>택시</t>
  </si>
  <si>
    <t>주식회사 티머니</t>
  </si>
  <si>
    <t>게임</t>
  </si>
  <si>
    <t>통행료</t>
  </si>
  <si>
    <t>한국도로공사</t>
  </si>
  <si>
    <t>주차</t>
  </si>
  <si>
    <t>주식회사 카카오모빌리티</t>
  </si>
  <si>
    <t>(주)케이지이니시스</t>
  </si>
  <si>
    <t>(주)넥슨코리아</t>
  </si>
  <si>
    <t>페이레터주식회사</t>
  </si>
  <si>
    <t>생활서비스</t>
  </si>
  <si>
    <t>(주)브레이브모바일</t>
  </si>
  <si>
    <t>서비스구독</t>
  </si>
  <si>
    <t>3POP PC방</t>
  </si>
  <si>
    <t>주식회사 디지비유페이</t>
  </si>
  <si>
    <t>철도</t>
  </si>
  <si>
    <t>주식회사 에스알</t>
  </si>
  <si>
    <t>페이레터</t>
  </si>
  <si>
    <t>이네이처PC방 평촌역점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</si>
</sst>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00\ &quot;%&quot;\ "/>
    <numFmt numFmtId="178" formatCode="hh:mm"/>
  </numFmts>
  <fonts count="5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3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3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3" fontId="2" fillId="7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3" fontId="0" fillId="0" borderId="14" xfId="0" applyNumberFormat="1" applyBorder="1"/>
    <xf numFmtId="0" fontId="0" fillId="0" borderId="14" xfId="0" applyBorder="1"/>
    <xf numFmtId="3" fontId="2" fillId="8" borderId="13" xfId="0" applyNumberFormat="1" applyFont="1" applyFill="1" applyBorder="1"/>
    <xf numFmtId="3" fontId="2" fillId="8" borderId="14" xfId="0" applyNumberFormat="1" applyFont="1" applyFill="1" applyBorder="1"/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3" fontId="0" fillId="0" borderId="19" xfId="0" applyNumberFormat="1" applyBorder="1"/>
    <xf numFmtId="176" fontId="0" fillId="0" borderId="7" xfId="0" applyNumberFormat="1" applyBorder="1"/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4" fontId="0" fillId="0" borderId="19" xfId="0" applyNumberFormat="1" applyBorder="1"/>
    <xf numFmtId="17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6" fontId="0" fillId="0" borderId="0" xfId="0" applyNumberFormat="1"/>
    <xf numFmtId="178" fontId="0" fillId="0" borderId="0" xfId="0" applyNumberFormat="1"/>
    <xf numFmtId="0" fontId="3" fillId="9" borderId="18" xfId="0" applyFont="1" applyFill="1" applyBorder="1" applyAlignment="1">
      <alignment horizontal="center" vertical="center"/>
    </xf>
    <xf numFmtId="0" fontId="0" fillId="0" borderId="7" xfId="0" applyBorder="1"/>
    <xf numFmtId="3" fontId="3" fillId="9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3" fontId="2" fillId="7" borderId="22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3" xfId="0" applyBorder="1"/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3" fontId="2" fillId="8" borderId="16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16"/>
  <sheetViews>
    <sheetView workbookViewId="0"/>
  </sheetViews>
  <sheetFormatPr baseColWidth="10" defaultColWidth="8.83203125" defaultRowHeight="17"/>
  <cols>
    <col min="1" max="1" width="2.6640625" customWidth="1"/>
    <col min="2" max="18" width="16.6640625" customWidth="1"/>
  </cols>
  <sheetData>
    <row r="3" spans="2:17" ht="20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58" t="s">
        <v>6</v>
      </c>
      <c r="G5" s="58"/>
    </row>
    <row r="6" spans="2:17">
      <c r="B6" s="4" t="s">
        <v>7</v>
      </c>
      <c r="C6" s="5" t="s">
        <v>8</v>
      </c>
      <c r="D6" s="5">
        <v>33</v>
      </c>
      <c r="E6" s="5">
        <v>987</v>
      </c>
      <c r="F6" s="59" t="s">
        <v>9</v>
      </c>
      <c r="G6" s="59"/>
    </row>
    <row r="9" spans="2:17" ht="20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 t="shared" ref="C12:C33" si="0">SUM(E12:Q12)</f>
        <v>52</v>
      </c>
      <c r="D12" s="10">
        <f t="shared" ref="D12:D33" si="1">C12/13</f>
        <v>4</v>
      </c>
      <c r="E12" s="10">
        <v>4</v>
      </c>
      <c r="F12" s="10">
        <v>4</v>
      </c>
      <c r="G12" s="10">
        <v>5</v>
      </c>
      <c r="H12" s="10">
        <v>4</v>
      </c>
      <c r="I12" s="10">
        <v>4</v>
      </c>
      <c r="J12" s="10">
        <v>4</v>
      </c>
      <c r="K12" s="10">
        <v>5</v>
      </c>
      <c r="L12" s="10">
        <v>4</v>
      </c>
      <c r="M12" s="10">
        <v>5</v>
      </c>
      <c r="N12" s="10">
        <v>4</v>
      </c>
      <c r="O12" s="10">
        <v>4</v>
      </c>
      <c r="P12" s="10">
        <v>5</v>
      </c>
      <c r="Q12" s="10">
        <v>0</v>
      </c>
    </row>
    <row r="13" spans="2:17">
      <c r="B13" s="9" t="s">
        <v>29</v>
      </c>
      <c r="C13" s="10">
        <f t="shared" si="0"/>
        <v>8650000</v>
      </c>
      <c r="D13" s="10">
        <f t="shared" si="1"/>
        <v>665384.61538461538</v>
      </c>
      <c r="E13" s="10">
        <v>0</v>
      </c>
      <c r="F13" s="10">
        <v>0</v>
      </c>
      <c r="G13" s="10">
        <v>0</v>
      </c>
      <c r="H13" s="10">
        <v>8500000</v>
      </c>
      <c r="I13" s="10">
        <v>0</v>
      </c>
      <c r="J13" s="10">
        <v>0</v>
      </c>
      <c r="K13" s="10">
        <v>0</v>
      </c>
      <c r="L13" s="10">
        <v>150000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 t="shared" si="0"/>
        <v>8650052</v>
      </c>
      <c r="D14" s="12">
        <f t="shared" si="1"/>
        <v>665388.61538461538</v>
      </c>
      <c r="E14" s="12">
        <f t="shared" ref="E14:Q14" si="2">SUM(E12:E13)</f>
        <v>4</v>
      </c>
      <c r="F14" s="12">
        <f t="shared" si="2"/>
        <v>4</v>
      </c>
      <c r="G14" s="12">
        <f t="shared" si="2"/>
        <v>5</v>
      </c>
      <c r="H14" s="12">
        <f t="shared" si="2"/>
        <v>8500004</v>
      </c>
      <c r="I14" s="12">
        <f t="shared" si="2"/>
        <v>4</v>
      </c>
      <c r="J14" s="12">
        <f t="shared" si="2"/>
        <v>4</v>
      </c>
      <c r="K14" s="12">
        <f t="shared" si="2"/>
        <v>5</v>
      </c>
      <c r="L14" s="12">
        <f t="shared" si="2"/>
        <v>150004</v>
      </c>
      <c r="M14" s="12">
        <f t="shared" si="2"/>
        <v>5</v>
      </c>
      <c r="N14" s="12">
        <f t="shared" si="2"/>
        <v>4</v>
      </c>
      <c r="O14" s="12">
        <f t="shared" si="2"/>
        <v>4</v>
      </c>
      <c r="P14" s="12">
        <f t="shared" si="2"/>
        <v>5</v>
      </c>
      <c r="Q14" s="12">
        <f t="shared" si="2"/>
        <v>0</v>
      </c>
    </row>
    <row r="15" spans="2:17">
      <c r="B15" s="9" t="s">
        <v>31</v>
      </c>
      <c r="C15" s="10">
        <f t="shared" si="0"/>
        <v>8938048</v>
      </c>
      <c r="D15" s="10">
        <f t="shared" si="1"/>
        <v>687542.15384615387</v>
      </c>
      <c r="E15" s="10">
        <v>2000</v>
      </c>
      <c r="F15" s="10">
        <v>3000</v>
      </c>
      <c r="G15" s="10">
        <v>2000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8915048</v>
      </c>
      <c r="N15" s="10">
        <v>2000</v>
      </c>
      <c r="O15" s="10">
        <v>2000</v>
      </c>
      <c r="P15" s="10">
        <v>2000</v>
      </c>
      <c r="Q15" s="10">
        <v>0</v>
      </c>
    </row>
    <row r="16" spans="2:17">
      <c r="B16" s="9" t="s">
        <v>32</v>
      </c>
      <c r="C16" s="10">
        <f t="shared" si="0"/>
        <v>141100</v>
      </c>
      <c r="D16" s="10">
        <f t="shared" si="1"/>
        <v>10853.846153846154</v>
      </c>
      <c r="E16" s="10">
        <v>101100</v>
      </c>
      <c r="F16" s="10">
        <v>0</v>
      </c>
      <c r="G16" s="10">
        <v>40000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 t="shared" si="0"/>
        <v>551500</v>
      </c>
      <c r="D17" s="10">
        <f t="shared" si="1"/>
        <v>42423.076923076922</v>
      </c>
      <c r="E17" s="10">
        <v>57100</v>
      </c>
      <c r="F17" s="10">
        <v>237500</v>
      </c>
      <c r="G17" s="10">
        <v>0</v>
      </c>
      <c r="H17" s="10">
        <v>33800</v>
      </c>
      <c r="I17" s="10">
        <v>84600</v>
      </c>
      <c r="J17" s="10">
        <v>88600</v>
      </c>
      <c r="K17" s="10">
        <v>28300</v>
      </c>
      <c r="L17" s="10">
        <v>6400</v>
      </c>
      <c r="M17" s="10">
        <v>0</v>
      </c>
      <c r="N17" s="10">
        <v>0</v>
      </c>
      <c r="O17" s="10">
        <v>15200</v>
      </c>
      <c r="P17" s="10">
        <v>0</v>
      </c>
      <c r="Q17" s="10">
        <v>0</v>
      </c>
    </row>
    <row r="18" spans="2:17">
      <c r="B18" s="9" t="s">
        <v>34</v>
      </c>
      <c r="C18" s="10">
        <f t="shared" si="0"/>
        <v>7565555</v>
      </c>
      <c r="D18" s="10">
        <f t="shared" si="1"/>
        <v>581965.76923076925</v>
      </c>
      <c r="E18" s="10">
        <v>131140</v>
      </c>
      <c r="F18" s="10">
        <v>123360</v>
      </c>
      <c r="G18" s="10">
        <v>4520570</v>
      </c>
      <c r="H18" s="10">
        <v>170360</v>
      </c>
      <c r="I18" s="10">
        <v>141590</v>
      </c>
      <c r="J18" s="10">
        <v>173500</v>
      </c>
      <c r="K18" s="10">
        <v>138840</v>
      </c>
      <c r="L18" s="10">
        <v>1298175</v>
      </c>
      <c r="M18" s="10">
        <v>606540</v>
      </c>
      <c r="N18" s="10">
        <v>0</v>
      </c>
      <c r="O18" s="10">
        <v>113150</v>
      </c>
      <c r="P18" s="10">
        <v>148330</v>
      </c>
      <c r="Q18" s="10">
        <v>0</v>
      </c>
    </row>
    <row r="19" spans="2:17">
      <c r="B19" s="9" t="s">
        <v>35</v>
      </c>
      <c r="C19" s="10">
        <f t="shared" si="0"/>
        <v>722170</v>
      </c>
      <c r="D19" s="10">
        <f t="shared" si="1"/>
        <v>55551.538461538461</v>
      </c>
      <c r="E19" s="10">
        <v>160300</v>
      </c>
      <c r="F19" s="10">
        <v>98000</v>
      </c>
      <c r="G19" s="10">
        <v>35500</v>
      </c>
      <c r="H19" s="10">
        <v>0</v>
      </c>
      <c r="I19" s="10">
        <v>990</v>
      </c>
      <c r="J19" s="10">
        <v>145390</v>
      </c>
      <c r="K19" s="10">
        <v>60990</v>
      </c>
      <c r="L19" s="10">
        <v>37490</v>
      </c>
      <c r="M19" s="10">
        <v>990</v>
      </c>
      <c r="N19" s="10">
        <v>40990</v>
      </c>
      <c r="O19" s="10">
        <v>89450</v>
      </c>
      <c r="P19" s="10">
        <v>51090</v>
      </c>
      <c r="Q19" s="10">
        <v>990</v>
      </c>
    </row>
    <row r="20" spans="2:17">
      <c r="B20" s="9" t="s">
        <v>36</v>
      </c>
      <c r="C20" s="10">
        <f t="shared" si="0"/>
        <v>34700</v>
      </c>
      <c r="D20" s="10">
        <f t="shared" si="1"/>
        <v>2669.2307692307691</v>
      </c>
      <c r="E20" s="10">
        <v>0</v>
      </c>
      <c r="F20" s="10">
        <v>0</v>
      </c>
      <c r="G20" s="10">
        <v>0</v>
      </c>
      <c r="H20" s="10">
        <v>0</v>
      </c>
      <c r="I20" s="10">
        <v>34700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 t="shared" si="0"/>
        <v>634400</v>
      </c>
      <c r="D21" s="10">
        <f t="shared" si="1"/>
        <v>48800</v>
      </c>
      <c r="E21" s="10">
        <v>98900</v>
      </c>
      <c r="F21" s="10">
        <v>0</v>
      </c>
      <c r="G21" s="10">
        <v>96500</v>
      </c>
      <c r="H21" s="10">
        <v>0</v>
      </c>
      <c r="I21" s="10">
        <v>22000</v>
      </c>
      <c r="J21" s="10">
        <v>22000</v>
      </c>
      <c r="K21" s="10">
        <v>274500</v>
      </c>
      <c r="L21" s="10">
        <v>76500</v>
      </c>
      <c r="M21" s="10">
        <v>0</v>
      </c>
      <c r="N21" s="10">
        <v>22000</v>
      </c>
      <c r="O21" s="10">
        <v>22000</v>
      </c>
      <c r="P21" s="10">
        <v>0</v>
      </c>
      <c r="Q21" s="10">
        <v>0</v>
      </c>
    </row>
    <row r="22" spans="2:17">
      <c r="B22" s="9" t="s">
        <v>38</v>
      </c>
      <c r="C22" s="10">
        <f t="shared" si="0"/>
        <v>5719400</v>
      </c>
      <c r="D22" s="10">
        <f t="shared" si="1"/>
        <v>439953.84615384613</v>
      </c>
      <c r="E22" s="10">
        <v>258890</v>
      </c>
      <c r="F22" s="10">
        <v>429580</v>
      </c>
      <c r="G22" s="10">
        <v>804110</v>
      </c>
      <c r="H22" s="10">
        <v>348370</v>
      </c>
      <c r="I22" s="10">
        <v>533550</v>
      </c>
      <c r="J22" s="10">
        <v>650960</v>
      </c>
      <c r="K22" s="10">
        <v>257330</v>
      </c>
      <c r="L22" s="10">
        <v>295900</v>
      </c>
      <c r="M22" s="10">
        <v>220430</v>
      </c>
      <c r="N22" s="10">
        <v>630220</v>
      </c>
      <c r="O22" s="10">
        <v>819670</v>
      </c>
      <c r="P22" s="10">
        <v>460790</v>
      </c>
      <c r="Q22" s="10">
        <v>9600</v>
      </c>
    </row>
    <row r="23" spans="2:17">
      <c r="B23" s="9" t="s">
        <v>39</v>
      </c>
      <c r="C23" s="10">
        <f t="shared" si="0"/>
        <v>240000</v>
      </c>
      <c r="D23" s="10">
        <f t="shared" si="1"/>
        <v>18461.538461538461</v>
      </c>
      <c r="E23" s="10">
        <v>75100</v>
      </c>
      <c r="F23" s="10">
        <v>0</v>
      </c>
      <c r="G23" s="10">
        <v>0</v>
      </c>
      <c r="H23" s="10">
        <v>0</v>
      </c>
      <c r="I23" s="10">
        <v>0</v>
      </c>
      <c r="J23" s="10">
        <v>60900</v>
      </c>
      <c r="K23" s="10">
        <v>104000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 t="shared" si="0"/>
        <v>17491851</v>
      </c>
      <c r="D24" s="10">
        <f t="shared" si="1"/>
        <v>1345527</v>
      </c>
      <c r="E24" s="10">
        <v>862899</v>
      </c>
      <c r="F24" s="10">
        <v>1295699</v>
      </c>
      <c r="G24" s="10">
        <v>1009259</v>
      </c>
      <c r="H24" s="10">
        <v>692130</v>
      </c>
      <c r="I24" s="10">
        <v>751224</v>
      </c>
      <c r="J24" s="10">
        <v>757810</v>
      </c>
      <c r="K24" s="10">
        <v>1841710</v>
      </c>
      <c r="L24" s="10">
        <v>9309110</v>
      </c>
      <c r="M24" s="10">
        <v>669510</v>
      </c>
      <c r="N24" s="10">
        <v>119600</v>
      </c>
      <c r="O24" s="10">
        <v>138000</v>
      </c>
      <c r="P24" s="10">
        <v>44900</v>
      </c>
      <c r="Q24" s="10">
        <v>0</v>
      </c>
    </row>
    <row r="25" spans="2:17">
      <c r="B25" s="9" t="s">
        <v>41</v>
      </c>
      <c r="C25" s="10">
        <f t="shared" si="0"/>
        <v>5346464</v>
      </c>
      <c r="D25" s="10">
        <f t="shared" si="1"/>
        <v>411266.46153846156</v>
      </c>
      <c r="E25" s="10">
        <v>1594753</v>
      </c>
      <c r="F25" s="10">
        <v>588883</v>
      </c>
      <c r="G25" s="10">
        <v>380452</v>
      </c>
      <c r="H25" s="10">
        <v>232700</v>
      </c>
      <c r="I25" s="10">
        <v>0</v>
      </c>
      <c r="J25" s="10">
        <v>254482</v>
      </c>
      <c r="K25" s="10">
        <v>0</v>
      </c>
      <c r="L25" s="10">
        <v>1445098</v>
      </c>
      <c r="M25" s="10">
        <v>481696</v>
      </c>
      <c r="N25" s="10">
        <v>111150</v>
      </c>
      <c r="O25" s="10">
        <v>146100</v>
      </c>
      <c r="P25" s="10">
        <v>111150</v>
      </c>
      <c r="Q25" s="10">
        <v>0</v>
      </c>
    </row>
    <row r="26" spans="2:17">
      <c r="B26" s="9" t="s">
        <v>42</v>
      </c>
      <c r="C26" s="10">
        <f t="shared" si="0"/>
        <v>3787553</v>
      </c>
      <c r="D26" s="10">
        <f t="shared" si="1"/>
        <v>291350.23076923075</v>
      </c>
      <c r="E26" s="10">
        <v>228007</v>
      </c>
      <c r="F26" s="10">
        <v>210311</v>
      </c>
      <c r="G26" s="10">
        <v>637552</v>
      </c>
      <c r="H26" s="10">
        <v>305423</v>
      </c>
      <c r="I26" s="10">
        <v>494617</v>
      </c>
      <c r="J26" s="10">
        <v>164229</v>
      </c>
      <c r="K26" s="10">
        <v>359389</v>
      </c>
      <c r="L26" s="10">
        <v>467893</v>
      </c>
      <c r="M26" s="10">
        <v>241816</v>
      </c>
      <c r="N26" s="10">
        <v>227012</v>
      </c>
      <c r="O26" s="10">
        <v>238652</v>
      </c>
      <c r="P26" s="10">
        <v>190762</v>
      </c>
      <c r="Q26" s="10">
        <v>21890</v>
      </c>
    </row>
    <row r="27" spans="2:17">
      <c r="B27" s="9" t="s">
        <v>43</v>
      </c>
      <c r="C27" s="10">
        <f t="shared" si="0"/>
        <v>819990</v>
      </c>
      <c r="D27" s="10">
        <f t="shared" si="1"/>
        <v>63076.153846153844</v>
      </c>
      <c r="E27" s="10">
        <v>22690</v>
      </c>
      <c r="F27" s="10">
        <v>23200</v>
      </c>
      <c r="G27" s="10">
        <v>50000</v>
      </c>
      <c r="H27" s="10">
        <v>13060</v>
      </c>
      <c r="I27" s="10">
        <v>0</v>
      </c>
      <c r="J27" s="10">
        <v>349040</v>
      </c>
      <c r="K27" s="10">
        <v>41100</v>
      </c>
      <c r="L27" s="10">
        <v>320900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 t="shared" si="0"/>
        <v>2165664</v>
      </c>
      <c r="D28" s="10">
        <f t="shared" si="1"/>
        <v>166589.53846153847</v>
      </c>
      <c r="E28" s="10">
        <v>57500</v>
      </c>
      <c r="F28" s="10">
        <v>203830</v>
      </c>
      <c r="G28" s="10">
        <v>100000</v>
      </c>
      <c r="H28" s="10">
        <v>146800</v>
      </c>
      <c r="I28" s="10">
        <v>163037</v>
      </c>
      <c r="J28" s="10">
        <v>171112</v>
      </c>
      <c r="K28" s="10">
        <v>242960</v>
      </c>
      <c r="L28" s="10">
        <v>74469</v>
      </c>
      <c r="M28" s="10">
        <v>230600</v>
      </c>
      <c r="N28" s="10">
        <v>238000</v>
      </c>
      <c r="O28" s="10">
        <v>241752</v>
      </c>
      <c r="P28" s="10">
        <v>295604</v>
      </c>
      <c r="Q28" s="10">
        <v>0</v>
      </c>
    </row>
    <row r="29" spans="2:17">
      <c r="B29" s="9" t="s">
        <v>45</v>
      </c>
      <c r="C29" s="10">
        <f t="shared" si="0"/>
        <v>2403050</v>
      </c>
      <c r="D29" s="10">
        <f t="shared" si="1"/>
        <v>184850</v>
      </c>
      <c r="E29" s="10">
        <v>246450</v>
      </c>
      <c r="F29" s="10">
        <v>100000</v>
      </c>
      <c r="G29" s="10">
        <v>257210</v>
      </c>
      <c r="H29" s="10">
        <v>271070</v>
      </c>
      <c r="I29" s="10">
        <v>269860</v>
      </c>
      <c r="J29" s="10">
        <v>247310</v>
      </c>
      <c r="K29" s="10">
        <v>257030</v>
      </c>
      <c r="L29" s="10">
        <v>11000</v>
      </c>
      <c r="M29" s="10">
        <v>447330</v>
      </c>
      <c r="N29" s="10">
        <v>6890</v>
      </c>
      <c r="O29" s="10">
        <v>0</v>
      </c>
      <c r="P29" s="10">
        <v>288900</v>
      </c>
      <c r="Q29" s="10">
        <v>0</v>
      </c>
    </row>
    <row r="30" spans="2:17">
      <c r="B30" s="9" t="s">
        <v>46</v>
      </c>
      <c r="C30" s="10">
        <f t="shared" si="0"/>
        <v>1545197</v>
      </c>
      <c r="D30" s="10">
        <f t="shared" si="1"/>
        <v>118861.30769230769</v>
      </c>
      <c r="E30" s="10">
        <v>101800</v>
      </c>
      <c r="F30" s="10">
        <v>0</v>
      </c>
      <c r="G30" s="10">
        <v>106300</v>
      </c>
      <c r="H30" s="10">
        <v>65100</v>
      </c>
      <c r="I30" s="10">
        <v>0</v>
      </c>
      <c r="J30" s="10">
        <v>0</v>
      </c>
      <c r="K30" s="10">
        <v>570300</v>
      </c>
      <c r="L30" s="10">
        <v>537900</v>
      </c>
      <c r="M30" s="10">
        <v>36000</v>
      </c>
      <c r="N30" s="10">
        <v>26330</v>
      </c>
      <c r="O30" s="10">
        <v>68167</v>
      </c>
      <c r="P30" s="10">
        <v>33300</v>
      </c>
      <c r="Q30" s="10">
        <v>0</v>
      </c>
    </row>
    <row r="31" spans="2:17">
      <c r="B31" s="9" t="s">
        <v>47</v>
      </c>
      <c r="C31" s="10">
        <f t="shared" si="0"/>
        <v>8555800</v>
      </c>
      <c r="D31" s="10">
        <f t="shared" si="1"/>
        <v>658138.4615384615</v>
      </c>
      <c r="E31" s="10">
        <v>593800</v>
      </c>
      <c r="F31" s="10">
        <v>0</v>
      </c>
      <c r="G31" s="10">
        <v>1600000</v>
      </c>
      <c r="H31" s="10">
        <v>0</v>
      </c>
      <c r="I31" s="10">
        <v>7000</v>
      </c>
      <c r="J31" s="10">
        <v>123360</v>
      </c>
      <c r="K31" s="10">
        <v>5372200</v>
      </c>
      <c r="L31" s="10">
        <v>808040</v>
      </c>
      <c r="M31" s="10">
        <v>0</v>
      </c>
      <c r="N31" s="10">
        <v>0</v>
      </c>
      <c r="O31" s="10">
        <v>51400</v>
      </c>
      <c r="P31" s="10">
        <v>0</v>
      </c>
      <c r="Q31" s="10">
        <v>0</v>
      </c>
    </row>
    <row r="32" spans="2:17">
      <c r="B32" s="11" t="s">
        <v>48</v>
      </c>
      <c r="C32" s="12">
        <f t="shared" si="0"/>
        <v>66662442</v>
      </c>
      <c r="D32" s="12">
        <f t="shared" si="1"/>
        <v>5127880.153846154</v>
      </c>
      <c r="E32" s="12">
        <f t="shared" ref="E32:Q32" si="3">SUM(E15:E31)</f>
        <v>4592429</v>
      </c>
      <c r="F32" s="12">
        <f t="shared" si="3"/>
        <v>3313363</v>
      </c>
      <c r="G32" s="12">
        <f t="shared" si="3"/>
        <v>9639453</v>
      </c>
      <c r="H32" s="12">
        <f t="shared" si="3"/>
        <v>2280813</v>
      </c>
      <c r="I32" s="12">
        <f t="shared" si="3"/>
        <v>2505168</v>
      </c>
      <c r="J32" s="12">
        <f t="shared" si="3"/>
        <v>3210693</v>
      </c>
      <c r="K32" s="12">
        <f t="shared" si="3"/>
        <v>9550649</v>
      </c>
      <c r="L32" s="12">
        <f t="shared" si="3"/>
        <v>14690875</v>
      </c>
      <c r="M32" s="12">
        <f t="shared" si="3"/>
        <v>11849960</v>
      </c>
      <c r="N32" s="12">
        <f t="shared" si="3"/>
        <v>1424192</v>
      </c>
      <c r="O32" s="12">
        <f t="shared" si="3"/>
        <v>1945541</v>
      </c>
      <c r="P32" s="12">
        <f t="shared" si="3"/>
        <v>1626826</v>
      </c>
      <c r="Q32" s="12">
        <f t="shared" si="3"/>
        <v>32480</v>
      </c>
    </row>
    <row r="33" spans="2:17">
      <c r="B33" s="13" t="s">
        <v>49</v>
      </c>
      <c r="C33" s="14">
        <f t="shared" si="0"/>
        <v>-58012390</v>
      </c>
      <c r="D33" s="14">
        <f t="shared" si="1"/>
        <v>-4462491.538461538</v>
      </c>
      <c r="E33" s="14">
        <f t="shared" ref="E33:Q33" si="4">E14-E32</f>
        <v>-4592425</v>
      </c>
      <c r="F33" s="14">
        <f t="shared" si="4"/>
        <v>-3313359</v>
      </c>
      <c r="G33" s="14">
        <f t="shared" si="4"/>
        <v>-9639448</v>
      </c>
      <c r="H33" s="14">
        <f t="shared" si="4"/>
        <v>6219191</v>
      </c>
      <c r="I33" s="14">
        <f t="shared" si="4"/>
        <v>-2505164</v>
      </c>
      <c r="J33" s="14">
        <f t="shared" si="4"/>
        <v>-3210689</v>
      </c>
      <c r="K33" s="14">
        <f t="shared" si="4"/>
        <v>-9550644</v>
      </c>
      <c r="L33" s="14">
        <f t="shared" si="4"/>
        <v>-14540871</v>
      </c>
      <c r="M33" s="14">
        <f t="shared" si="4"/>
        <v>-11849955</v>
      </c>
      <c r="N33" s="14">
        <f t="shared" si="4"/>
        <v>-1424188</v>
      </c>
      <c r="O33" s="14">
        <f t="shared" si="4"/>
        <v>-1945537</v>
      </c>
      <c r="P33" s="14">
        <f t="shared" si="4"/>
        <v>-1626821</v>
      </c>
      <c r="Q33" s="14">
        <f t="shared" si="4"/>
        <v>-32480</v>
      </c>
    </row>
    <row r="36" spans="2:17" ht="20">
      <c r="B36" s="1" t="s">
        <v>50</v>
      </c>
    </row>
    <row r="37" spans="2:17">
      <c r="B37" t="s">
        <v>51</v>
      </c>
    </row>
    <row r="38" spans="2:17">
      <c r="B38" s="60" t="s">
        <v>52</v>
      </c>
      <c r="C38" s="60"/>
      <c r="D38" s="60"/>
      <c r="E38" s="60"/>
      <c r="F38" s="61" t="s">
        <v>53</v>
      </c>
      <c r="G38" s="61"/>
      <c r="H38" s="61"/>
      <c r="I38" s="61"/>
    </row>
    <row r="39" spans="2:17">
      <c r="B39" s="15" t="s">
        <v>12</v>
      </c>
      <c r="C39" s="62" t="s">
        <v>54</v>
      </c>
      <c r="D39" s="62"/>
      <c r="E39" s="16" t="s">
        <v>55</v>
      </c>
      <c r="F39" s="16" t="s">
        <v>12</v>
      </c>
      <c r="G39" s="62" t="s">
        <v>54</v>
      </c>
      <c r="H39" s="62"/>
      <c r="I39" s="16" t="s">
        <v>55</v>
      </c>
    </row>
    <row r="40" spans="2:17">
      <c r="B40" s="56" t="s">
        <v>56</v>
      </c>
      <c r="C40" s="51" t="s">
        <v>57</v>
      </c>
      <c r="D40" s="51"/>
      <c r="E40" s="19">
        <v>58714</v>
      </c>
      <c r="F40" s="57" t="s">
        <v>96</v>
      </c>
      <c r="G40" s="51" t="s">
        <v>97</v>
      </c>
      <c r="H40" s="51"/>
      <c r="I40" s="20">
        <v>53123400</v>
      </c>
    </row>
    <row r="41" spans="2:17">
      <c r="B41" s="56"/>
      <c r="C41" s="51" t="s">
        <v>58</v>
      </c>
      <c r="D41" s="51"/>
      <c r="E41" s="19">
        <v>-53123400</v>
      </c>
      <c r="F41" s="57"/>
      <c r="G41" s="51" t="s">
        <v>97</v>
      </c>
      <c r="H41" s="51"/>
      <c r="I41" s="20">
        <v>0</v>
      </c>
    </row>
    <row r="42" spans="2:17">
      <c r="B42" s="56"/>
      <c r="C42" s="51" t="s">
        <v>59</v>
      </c>
      <c r="D42" s="51"/>
      <c r="E42" s="19">
        <v>1</v>
      </c>
      <c r="F42" s="57"/>
      <c r="G42" s="51" t="s">
        <v>97</v>
      </c>
      <c r="H42" s="51"/>
      <c r="I42" s="20">
        <v>0</v>
      </c>
    </row>
    <row r="43" spans="2:17">
      <c r="B43" s="56"/>
      <c r="C43" s="51" t="s">
        <v>60</v>
      </c>
      <c r="D43" s="51"/>
      <c r="E43" s="19">
        <v>10367</v>
      </c>
      <c r="F43" s="57"/>
      <c r="G43" s="51" t="s">
        <v>98</v>
      </c>
      <c r="H43" s="51"/>
      <c r="I43" s="20">
        <v>1521</v>
      </c>
    </row>
    <row r="44" spans="2:17">
      <c r="B44" s="56"/>
      <c r="C44" s="51" t="s">
        <v>61</v>
      </c>
      <c r="D44" s="51"/>
      <c r="E44" s="19">
        <v>3</v>
      </c>
      <c r="F44" s="18"/>
      <c r="G44" s="51"/>
      <c r="H44" s="51"/>
      <c r="I44" s="21"/>
    </row>
    <row r="45" spans="2:17">
      <c r="B45" s="56"/>
      <c r="C45" s="51" t="s">
        <v>62</v>
      </c>
      <c r="D45" s="51"/>
      <c r="E45" s="19">
        <v>339994</v>
      </c>
      <c r="F45" s="18"/>
      <c r="G45" s="51"/>
      <c r="H45" s="51"/>
      <c r="I45" s="21"/>
    </row>
    <row r="46" spans="2:17">
      <c r="B46" s="56"/>
      <c r="C46" s="51" t="s">
        <v>63</v>
      </c>
      <c r="D46" s="51"/>
      <c r="E46" s="19">
        <v>2727</v>
      </c>
      <c r="F46" s="18"/>
      <c r="G46" s="51"/>
      <c r="H46" s="51"/>
      <c r="I46" s="21"/>
    </row>
    <row r="47" spans="2:17">
      <c r="B47" s="56"/>
      <c r="C47" s="51" t="s">
        <v>64</v>
      </c>
      <c r="D47" s="51"/>
      <c r="E47" s="19">
        <v>16756</v>
      </c>
      <c r="F47" s="18"/>
      <c r="G47" s="51"/>
      <c r="H47" s="51"/>
      <c r="I47" s="21"/>
    </row>
    <row r="48" spans="2:17">
      <c r="B48" s="56"/>
      <c r="C48" s="51" t="s">
        <v>65</v>
      </c>
      <c r="D48" s="51"/>
      <c r="E48" s="19">
        <v>68306</v>
      </c>
      <c r="F48" s="18"/>
      <c r="G48" s="51"/>
      <c r="H48" s="51"/>
      <c r="I48" s="21"/>
    </row>
    <row r="49" spans="2:9">
      <c r="B49" s="17" t="s">
        <v>66</v>
      </c>
      <c r="C49" s="51"/>
      <c r="D49" s="51"/>
      <c r="E49" s="19"/>
      <c r="F49" s="18"/>
      <c r="G49" s="51"/>
      <c r="H49" s="51"/>
      <c r="I49" s="21"/>
    </row>
    <row r="50" spans="2:9">
      <c r="B50" s="17" t="s">
        <v>67</v>
      </c>
      <c r="C50" s="51" t="s">
        <v>68</v>
      </c>
      <c r="D50" s="51"/>
      <c r="E50" s="19">
        <v>0</v>
      </c>
      <c r="F50" s="18"/>
      <c r="G50" s="51"/>
      <c r="H50" s="51"/>
      <c r="I50" s="21"/>
    </row>
    <row r="51" spans="2:9">
      <c r="B51" s="17" t="s">
        <v>69</v>
      </c>
      <c r="C51" s="51" t="s">
        <v>70</v>
      </c>
      <c r="D51" s="51"/>
      <c r="E51" s="19">
        <v>20000</v>
      </c>
      <c r="F51" s="18"/>
      <c r="G51" s="51"/>
      <c r="H51" s="51"/>
      <c r="I51" s="21"/>
    </row>
    <row r="52" spans="2:9">
      <c r="B52" s="56" t="s">
        <v>71</v>
      </c>
      <c r="C52" s="51" t="s">
        <v>72</v>
      </c>
      <c r="D52" s="51"/>
      <c r="E52" s="19">
        <v>0</v>
      </c>
      <c r="F52" s="18"/>
      <c r="G52" s="51"/>
      <c r="H52" s="51"/>
      <c r="I52" s="21"/>
    </row>
    <row r="53" spans="2:9">
      <c r="B53" s="56"/>
      <c r="C53" s="51" t="s">
        <v>73</v>
      </c>
      <c r="D53" s="51"/>
      <c r="E53" s="19">
        <v>9510</v>
      </c>
      <c r="F53" s="18"/>
      <c r="G53" s="51"/>
      <c r="H53" s="51"/>
      <c r="I53" s="21"/>
    </row>
    <row r="54" spans="2:9">
      <c r="B54" s="56"/>
      <c r="C54" s="51" t="s">
        <v>74</v>
      </c>
      <c r="D54" s="51"/>
      <c r="E54" s="19">
        <v>500</v>
      </c>
      <c r="F54" s="18"/>
      <c r="G54" s="51"/>
      <c r="H54" s="51"/>
      <c r="I54" s="21"/>
    </row>
    <row r="55" spans="2:9">
      <c r="B55" s="56"/>
      <c r="C55" s="51" t="s">
        <v>75</v>
      </c>
      <c r="D55" s="51"/>
      <c r="E55" s="19">
        <v>0</v>
      </c>
      <c r="F55" s="18"/>
      <c r="G55" s="51"/>
      <c r="H55" s="51"/>
      <c r="I55" s="21"/>
    </row>
    <row r="56" spans="2:9">
      <c r="B56" s="56" t="s">
        <v>76</v>
      </c>
      <c r="C56" s="51" t="s">
        <v>77</v>
      </c>
      <c r="D56" s="51"/>
      <c r="E56" s="19">
        <v>774829.05370000005</v>
      </c>
      <c r="F56" s="18"/>
      <c r="G56" s="51"/>
      <c r="H56" s="51"/>
      <c r="I56" s="21"/>
    </row>
    <row r="57" spans="2:9">
      <c r="B57" s="56"/>
      <c r="C57" s="51" t="s">
        <v>78</v>
      </c>
      <c r="D57" s="51"/>
      <c r="E57" s="19">
        <v>599441.10719999997</v>
      </c>
      <c r="F57" s="18"/>
      <c r="G57" s="51"/>
      <c r="H57" s="51"/>
      <c r="I57" s="21"/>
    </row>
    <row r="58" spans="2:9">
      <c r="B58" s="56"/>
      <c r="C58" s="51" t="s">
        <v>79</v>
      </c>
      <c r="D58" s="51"/>
      <c r="E58" s="19">
        <v>544890</v>
      </c>
      <c r="F58" s="18"/>
      <c r="G58" s="51"/>
      <c r="H58" s="51"/>
      <c r="I58" s="21"/>
    </row>
    <row r="59" spans="2:9">
      <c r="B59" s="56"/>
      <c r="C59" s="51" t="s">
        <v>80</v>
      </c>
      <c r="D59" s="51"/>
      <c r="E59" s="19">
        <v>524000</v>
      </c>
      <c r="F59" s="18"/>
      <c r="G59" s="51"/>
      <c r="H59" s="51"/>
      <c r="I59" s="21"/>
    </row>
    <row r="60" spans="2:9">
      <c r="B60" s="56"/>
      <c r="C60" s="51" t="s">
        <v>81</v>
      </c>
      <c r="D60" s="51"/>
      <c r="E60" s="19">
        <v>283728.6764</v>
      </c>
      <c r="F60" s="18"/>
      <c r="G60" s="51"/>
      <c r="H60" s="51"/>
      <c r="I60" s="21"/>
    </row>
    <row r="61" spans="2:9">
      <c r="B61" s="56"/>
      <c r="C61" s="51" t="s">
        <v>82</v>
      </c>
      <c r="D61" s="51"/>
      <c r="E61" s="19">
        <v>210630</v>
      </c>
      <c r="F61" s="18"/>
      <c r="G61" s="51"/>
      <c r="H61" s="51"/>
      <c r="I61" s="21"/>
    </row>
    <row r="62" spans="2:9">
      <c r="B62" s="56"/>
      <c r="C62" s="51" t="s">
        <v>77</v>
      </c>
      <c r="D62" s="51"/>
      <c r="E62" s="19">
        <v>119204.46980000001</v>
      </c>
      <c r="F62" s="18"/>
      <c r="G62" s="51"/>
      <c r="H62" s="51"/>
      <c r="I62" s="21"/>
    </row>
    <row r="63" spans="2:9">
      <c r="B63" s="56"/>
      <c r="C63" s="51" t="s">
        <v>79</v>
      </c>
      <c r="D63" s="51"/>
      <c r="E63" s="19">
        <v>115180</v>
      </c>
      <c r="F63" s="18"/>
      <c r="G63" s="51"/>
      <c r="H63" s="51"/>
      <c r="I63" s="21"/>
    </row>
    <row r="64" spans="2:9">
      <c r="B64" s="56"/>
      <c r="C64" s="51" t="s">
        <v>83</v>
      </c>
      <c r="D64" s="51"/>
      <c r="E64" s="19">
        <v>115020</v>
      </c>
      <c r="F64" s="18"/>
      <c r="G64" s="51"/>
      <c r="H64" s="51"/>
      <c r="I64" s="21"/>
    </row>
    <row r="65" spans="2:9">
      <c r="B65" s="56"/>
      <c r="C65" s="51" t="s">
        <v>84</v>
      </c>
      <c r="D65" s="51"/>
      <c r="E65" s="19">
        <v>90510</v>
      </c>
      <c r="F65" s="18"/>
      <c r="G65" s="51"/>
      <c r="H65" s="51"/>
      <c r="I65" s="21"/>
    </row>
    <row r="66" spans="2:9">
      <c r="B66" s="56"/>
      <c r="C66" s="51" t="s">
        <v>84</v>
      </c>
      <c r="D66" s="51"/>
      <c r="E66" s="19">
        <v>43100</v>
      </c>
      <c r="F66" s="18"/>
      <c r="G66" s="51"/>
      <c r="H66" s="51"/>
      <c r="I66" s="21"/>
    </row>
    <row r="67" spans="2:9">
      <c r="B67" s="56"/>
      <c r="C67" s="51" t="s">
        <v>85</v>
      </c>
      <c r="D67" s="51"/>
      <c r="E67" s="19">
        <v>1793</v>
      </c>
      <c r="F67" s="18"/>
      <c r="G67" s="51"/>
      <c r="H67" s="51"/>
      <c r="I67" s="21"/>
    </row>
    <row r="68" spans="2:9">
      <c r="B68" s="56"/>
      <c r="C68" s="51" t="s">
        <v>86</v>
      </c>
      <c r="D68" s="51"/>
      <c r="E68" s="19">
        <v>106533.9347</v>
      </c>
      <c r="F68" s="18"/>
      <c r="G68" s="51"/>
      <c r="H68" s="51"/>
      <c r="I68" s="21"/>
    </row>
    <row r="69" spans="2:9">
      <c r="B69" s="56"/>
      <c r="C69" s="51" t="s">
        <v>87</v>
      </c>
      <c r="D69" s="51"/>
      <c r="E69" s="19">
        <v>0</v>
      </c>
      <c r="F69" s="18"/>
      <c r="G69" s="51"/>
      <c r="H69" s="51"/>
      <c r="I69" s="21"/>
    </row>
    <row r="70" spans="2:9">
      <c r="B70" s="56"/>
      <c r="C70" s="51" t="s">
        <v>88</v>
      </c>
      <c r="D70" s="51"/>
      <c r="E70" s="19">
        <v>241965.31099999999</v>
      </c>
      <c r="F70" s="18"/>
      <c r="G70" s="51"/>
      <c r="H70" s="51"/>
      <c r="I70" s="21"/>
    </row>
    <row r="71" spans="2:9">
      <c r="B71" s="17" t="s">
        <v>89</v>
      </c>
      <c r="C71" s="51"/>
      <c r="D71" s="51"/>
      <c r="E71" s="19"/>
      <c r="F71" s="18"/>
      <c r="G71" s="51"/>
      <c r="H71" s="51"/>
      <c r="I71" s="21"/>
    </row>
    <row r="72" spans="2:9">
      <c r="B72" s="17" t="s">
        <v>90</v>
      </c>
      <c r="C72" s="51"/>
      <c r="D72" s="51"/>
      <c r="E72" s="19"/>
      <c r="F72" s="18"/>
      <c r="G72" s="51"/>
      <c r="H72" s="51"/>
      <c r="I72" s="21"/>
    </row>
    <row r="73" spans="2:9">
      <c r="B73" s="17" t="s">
        <v>91</v>
      </c>
      <c r="C73" s="51"/>
      <c r="D73" s="51"/>
      <c r="E73" s="19"/>
      <c r="F73" s="18"/>
      <c r="G73" s="51"/>
      <c r="H73" s="51"/>
      <c r="I73" s="21"/>
    </row>
    <row r="74" spans="2:9">
      <c r="B74" s="56" t="s">
        <v>92</v>
      </c>
      <c r="C74" s="51" t="s">
        <v>93</v>
      </c>
      <c r="D74" s="51"/>
      <c r="E74" s="19">
        <v>0</v>
      </c>
      <c r="F74" s="18"/>
      <c r="G74" s="51"/>
      <c r="H74" s="51"/>
      <c r="I74" s="21"/>
    </row>
    <row r="75" spans="2:9">
      <c r="B75" s="56"/>
      <c r="C75" s="51" t="s">
        <v>94</v>
      </c>
      <c r="D75" s="51"/>
      <c r="E75" s="19">
        <v>0</v>
      </c>
      <c r="F75" s="18"/>
      <c r="G75" s="51"/>
      <c r="H75" s="51"/>
      <c r="I75" s="21"/>
    </row>
    <row r="76" spans="2:9">
      <c r="B76" s="17" t="s">
        <v>95</v>
      </c>
      <c r="C76" s="51"/>
      <c r="D76" s="51"/>
      <c r="E76" s="19"/>
      <c r="F76" s="18"/>
      <c r="G76" s="51"/>
      <c r="H76" s="51"/>
      <c r="I76" s="21"/>
    </row>
    <row r="77" spans="2:9">
      <c r="B77" s="52" t="s">
        <v>99</v>
      </c>
      <c r="C77" s="52"/>
      <c r="D77" s="52"/>
      <c r="E77" s="22">
        <f>SUM(E40:E76)</f>
        <v>-48825696.447200008</v>
      </c>
      <c r="F77" s="53" t="s">
        <v>100</v>
      </c>
      <c r="G77" s="53"/>
      <c r="H77" s="53"/>
      <c r="I77" s="23">
        <f>SUM(I40:I76)</f>
        <v>53124921</v>
      </c>
    </row>
    <row r="78" spans="2:9">
      <c r="B78" s="54" t="s">
        <v>101</v>
      </c>
      <c r="C78" s="54"/>
      <c r="D78" s="54"/>
      <c r="E78" s="54"/>
      <c r="F78" s="54"/>
      <c r="G78" s="54"/>
      <c r="H78" s="54"/>
      <c r="I78" s="54"/>
    </row>
    <row r="79" spans="2:9">
      <c r="B79" s="55">
        <f>E77-I77</f>
        <v>-101950617.4472</v>
      </c>
      <c r="C79" s="55"/>
      <c r="D79" s="55"/>
      <c r="E79" s="55"/>
      <c r="F79" s="55"/>
      <c r="G79" s="55"/>
      <c r="H79" s="55"/>
      <c r="I79" s="55"/>
    </row>
    <row r="82" spans="2:10" ht="20">
      <c r="B82" s="1" t="s">
        <v>102</v>
      </c>
    </row>
    <row r="83" spans="2:10">
      <c r="B83" t="s">
        <v>103</v>
      </c>
    </row>
    <row r="84" spans="2:10">
      <c r="B84" s="24" t="s">
        <v>104</v>
      </c>
      <c r="C84" s="50" t="s">
        <v>105</v>
      </c>
      <c r="D84" s="50"/>
      <c r="E84" s="25" t="s">
        <v>106</v>
      </c>
      <c r="F84" s="25" t="s">
        <v>107</v>
      </c>
      <c r="G84" s="25" t="s">
        <v>108</v>
      </c>
      <c r="H84" s="25" t="s">
        <v>109</v>
      </c>
    </row>
    <row r="85" spans="2:10">
      <c r="B85" s="26" t="s">
        <v>110</v>
      </c>
      <c r="C85" s="44" t="s">
        <v>93</v>
      </c>
      <c r="D85" s="44"/>
      <c r="E85" s="28" t="s">
        <v>111</v>
      </c>
      <c r="F85" s="29">
        <v>447600000</v>
      </c>
      <c r="G85" s="30">
        <v>44904</v>
      </c>
      <c r="H85" s="30">
        <v>46000</v>
      </c>
    </row>
    <row r="86" spans="2:10">
      <c r="B86" s="26" t="s">
        <v>110</v>
      </c>
      <c r="C86" s="44" t="s">
        <v>94</v>
      </c>
      <c r="D86" s="44"/>
      <c r="E86" s="28" t="s">
        <v>111</v>
      </c>
      <c r="F86" s="29">
        <v>1846010</v>
      </c>
      <c r="G86" s="30">
        <v>45640</v>
      </c>
      <c r="H86" s="30">
        <v>46005</v>
      </c>
    </row>
    <row r="87" spans="2:10">
      <c r="B87" s="49" t="s">
        <v>13</v>
      </c>
      <c r="C87" s="46" t="s">
        <v>112</v>
      </c>
      <c r="D87" s="46"/>
      <c r="E87" s="31" t="s">
        <v>113</v>
      </c>
      <c r="F87" s="31" t="s">
        <v>114</v>
      </c>
      <c r="G87" s="31"/>
      <c r="H87" s="32"/>
    </row>
    <row r="88" spans="2:10">
      <c r="B88" s="49"/>
      <c r="C88" s="48" t="s">
        <v>115</v>
      </c>
      <c r="D88" s="48"/>
      <c r="E88" s="33" t="s">
        <v>116</v>
      </c>
      <c r="F88" s="34">
        <f>SUM(F85:F86)</f>
        <v>449446010</v>
      </c>
      <c r="G88" s="33"/>
      <c r="H88" s="35"/>
    </row>
    <row r="90" spans="2:10" ht="20">
      <c r="B90" s="1" t="s">
        <v>117</v>
      </c>
    </row>
    <row r="91" spans="2:10">
      <c r="B91" t="s">
        <v>118</v>
      </c>
    </row>
    <row r="92" spans="2:10">
      <c r="B92" s="24" t="s">
        <v>119</v>
      </c>
      <c r="C92" s="25" t="s">
        <v>104</v>
      </c>
      <c r="D92" s="50" t="s">
        <v>54</v>
      </c>
      <c r="E92" s="50"/>
      <c r="F92" s="25" t="s">
        <v>120</v>
      </c>
      <c r="G92" s="25" t="s">
        <v>121</v>
      </c>
      <c r="H92" s="25" t="s">
        <v>122</v>
      </c>
      <c r="I92" s="25" t="s">
        <v>123</v>
      </c>
      <c r="J92" s="25" t="s">
        <v>109</v>
      </c>
    </row>
    <row r="93" spans="2:10">
      <c r="B93" s="26" t="s">
        <v>124</v>
      </c>
      <c r="C93" s="27" t="s">
        <v>125</v>
      </c>
      <c r="D93" s="44" t="s">
        <v>77</v>
      </c>
      <c r="E93" s="44"/>
      <c r="F93" s="29">
        <v>696283</v>
      </c>
      <c r="G93" s="29">
        <v>774829.05370000005</v>
      </c>
      <c r="H93" s="36">
        <v>11.28076568004677</v>
      </c>
      <c r="I93" s="30"/>
      <c r="J93" s="30"/>
    </row>
    <row r="94" spans="2:10">
      <c r="B94" s="26" t="s">
        <v>124</v>
      </c>
      <c r="C94" s="27" t="s">
        <v>125</v>
      </c>
      <c r="D94" s="44" t="s">
        <v>78</v>
      </c>
      <c r="E94" s="44"/>
      <c r="F94" s="29">
        <v>691633</v>
      </c>
      <c r="G94" s="29">
        <v>599441.10719999997</v>
      </c>
      <c r="H94" s="36">
        <v>-13.329597170753861</v>
      </c>
      <c r="I94" s="30"/>
      <c r="J94" s="30"/>
    </row>
    <row r="95" spans="2:10">
      <c r="B95" s="26" t="s">
        <v>124</v>
      </c>
      <c r="C95" s="27" t="s">
        <v>125</v>
      </c>
      <c r="D95" s="44" t="s">
        <v>79</v>
      </c>
      <c r="E95" s="44"/>
      <c r="F95" s="29">
        <v>751889</v>
      </c>
      <c r="G95" s="29">
        <v>544890</v>
      </c>
      <c r="H95" s="36">
        <v>-27.530526447387849</v>
      </c>
      <c r="I95" s="30"/>
      <c r="J95" s="30"/>
    </row>
    <row r="96" spans="2:10">
      <c r="B96" s="26" t="s">
        <v>124</v>
      </c>
      <c r="C96" s="27" t="s">
        <v>125</v>
      </c>
      <c r="D96" s="44" t="s">
        <v>80</v>
      </c>
      <c r="E96" s="44"/>
      <c r="F96" s="29">
        <v>507000</v>
      </c>
      <c r="G96" s="29">
        <v>524000</v>
      </c>
      <c r="H96" s="36">
        <v>3.3530571992110452</v>
      </c>
      <c r="I96" s="30"/>
      <c r="J96" s="30"/>
    </row>
    <row r="97" spans="2:10">
      <c r="B97" s="26" t="s">
        <v>124</v>
      </c>
      <c r="C97" s="27" t="s">
        <v>125</v>
      </c>
      <c r="D97" s="44" t="s">
        <v>81</v>
      </c>
      <c r="E97" s="44"/>
      <c r="F97" s="29">
        <v>295368</v>
      </c>
      <c r="G97" s="29">
        <v>283728.6764</v>
      </c>
      <c r="H97" s="36">
        <v>-3.9406176701606141</v>
      </c>
      <c r="I97" s="30"/>
      <c r="J97" s="30"/>
    </row>
    <row r="98" spans="2:10">
      <c r="B98" s="26" t="s">
        <v>124</v>
      </c>
      <c r="C98" s="27" t="s">
        <v>125</v>
      </c>
      <c r="D98" s="44" t="s">
        <v>82</v>
      </c>
      <c r="E98" s="44"/>
      <c r="F98" s="29">
        <v>256302</v>
      </c>
      <c r="G98" s="29">
        <v>210630</v>
      </c>
      <c r="H98" s="36">
        <v>-17.819603436570919</v>
      </c>
      <c r="I98" s="30"/>
      <c r="J98" s="30"/>
    </row>
    <row r="99" spans="2:10">
      <c r="B99" s="26" t="s">
        <v>124</v>
      </c>
      <c r="C99" s="27" t="s">
        <v>125</v>
      </c>
      <c r="D99" s="44" t="s">
        <v>77</v>
      </c>
      <c r="E99" s="44"/>
      <c r="F99" s="29">
        <v>107134</v>
      </c>
      <c r="G99" s="29">
        <v>119204.46980000001</v>
      </c>
      <c r="H99" s="36">
        <v>11.26670319413072</v>
      </c>
      <c r="I99" s="30"/>
      <c r="J99" s="30"/>
    </row>
    <row r="100" spans="2:10">
      <c r="B100" s="26" t="s">
        <v>124</v>
      </c>
      <c r="C100" s="27" t="s">
        <v>125</v>
      </c>
      <c r="D100" s="44" t="s">
        <v>79</v>
      </c>
      <c r="E100" s="44"/>
      <c r="F100" s="29">
        <v>178039</v>
      </c>
      <c r="G100" s="29">
        <v>115180</v>
      </c>
      <c r="H100" s="36">
        <v>-35.306309291784387</v>
      </c>
      <c r="I100" s="30"/>
      <c r="J100" s="30"/>
    </row>
    <row r="101" spans="2:10">
      <c r="B101" s="26" t="s">
        <v>124</v>
      </c>
      <c r="C101" s="27" t="s">
        <v>125</v>
      </c>
      <c r="D101" s="44" t="s">
        <v>83</v>
      </c>
      <c r="E101" s="44"/>
      <c r="F101" s="29">
        <v>134325</v>
      </c>
      <c r="G101" s="29">
        <v>115020</v>
      </c>
      <c r="H101" s="36">
        <v>-14.371859296482411</v>
      </c>
      <c r="I101" s="30"/>
      <c r="J101" s="30"/>
    </row>
    <row r="102" spans="2:10">
      <c r="B102" s="26" t="s">
        <v>124</v>
      </c>
      <c r="C102" s="27" t="s">
        <v>125</v>
      </c>
      <c r="D102" s="44" t="s">
        <v>84</v>
      </c>
      <c r="E102" s="44"/>
      <c r="F102" s="29">
        <v>104699</v>
      </c>
      <c r="G102" s="29">
        <v>90510</v>
      </c>
      <c r="H102" s="36">
        <v>-13.55218292438323</v>
      </c>
      <c r="I102" s="30"/>
      <c r="J102" s="30"/>
    </row>
    <row r="103" spans="2:10">
      <c r="B103" s="26" t="s">
        <v>124</v>
      </c>
      <c r="C103" s="27" t="s">
        <v>125</v>
      </c>
      <c r="D103" s="44" t="s">
        <v>84</v>
      </c>
      <c r="E103" s="44"/>
      <c r="F103" s="29">
        <v>47450</v>
      </c>
      <c r="G103" s="29">
        <v>43100</v>
      </c>
      <c r="H103" s="36">
        <v>-9.167544783983141</v>
      </c>
      <c r="I103" s="30"/>
      <c r="J103" s="30"/>
    </row>
    <row r="104" spans="2:10">
      <c r="B104" s="26" t="s">
        <v>124</v>
      </c>
      <c r="C104" s="27" t="s">
        <v>126</v>
      </c>
      <c r="D104" s="44" t="s">
        <v>85</v>
      </c>
      <c r="E104" s="44"/>
      <c r="F104" s="29">
        <v>3365</v>
      </c>
      <c r="G104" s="29">
        <v>1793</v>
      </c>
      <c r="H104" s="36">
        <v>-46.716196136701328</v>
      </c>
      <c r="I104" s="30"/>
      <c r="J104" s="30"/>
    </row>
    <row r="105" spans="2:10">
      <c r="B105" s="45" t="s">
        <v>13</v>
      </c>
      <c r="C105" s="31"/>
      <c r="D105" s="46" t="s">
        <v>127</v>
      </c>
      <c r="E105" s="46"/>
      <c r="F105" s="31" t="s">
        <v>128</v>
      </c>
      <c r="G105" s="31" t="s">
        <v>129</v>
      </c>
      <c r="H105" s="31" t="s">
        <v>130</v>
      </c>
      <c r="I105" s="31"/>
      <c r="J105" s="32"/>
    </row>
    <row r="106" spans="2:10">
      <c r="B106" s="45"/>
      <c r="C106" s="33"/>
      <c r="D106" s="48" t="s">
        <v>131</v>
      </c>
      <c r="E106" s="48"/>
      <c r="F106" s="34">
        <f>SUM(F93:F104)</f>
        <v>3773487</v>
      </c>
      <c r="G106" s="34">
        <f>SUM(G93:G104)</f>
        <v>3422326.3070999999</v>
      </c>
      <c r="H106" s="37">
        <f>(SUM(G93:G104) - SUM(F93:F104)) * 100 / IF(SUM(F93:F104), SUM(F93:F104), 1)</f>
        <v>-9.3059998060149702</v>
      </c>
      <c r="I106" s="33"/>
      <c r="J106" s="35"/>
    </row>
    <row r="108" spans="2:10" ht="20">
      <c r="B108" s="1" t="s">
        <v>132</v>
      </c>
    </row>
    <row r="109" spans="2:10">
      <c r="B109" t="s">
        <v>133</v>
      </c>
    </row>
    <row r="110" spans="2:10">
      <c r="B110" s="38" t="s">
        <v>134</v>
      </c>
      <c r="C110" s="39" t="s">
        <v>104</v>
      </c>
      <c r="D110" s="43" t="s">
        <v>54</v>
      </c>
      <c r="E110" s="43"/>
      <c r="F110" s="39" t="s">
        <v>135</v>
      </c>
      <c r="G110" s="39" t="s">
        <v>136</v>
      </c>
      <c r="H110" s="39" t="s">
        <v>137</v>
      </c>
      <c r="I110" s="39" t="s">
        <v>138</v>
      </c>
      <c r="J110" s="39" t="s">
        <v>139</v>
      </c>
    </row>
    <row r="111" spans="2:10">
      <c r="B111" s="26" t="s">
        <v>140</v>
      </c>
      <c r="C111" s="27" t="s">
        <v>141</v>
      </c>
      <c r="D111" s="44" t="s">
        <v>97</v>
      </c>
      <c r="E111" s="44"/>
      <c r="F111" s="29">
        <v>53700000</v>
      </c>
      <c r="G111" s="29">
        <v>53123400</v>
      </c>
      <c r="H111" s="27">
        <v>4.5999999999999996</v>
      </c>
      <c r="I111" s="30">
        <v>45100</v>
      </c>
      <c r="J111" s="30">
        <v>46196</v>
      </c>
    </row>
    <row r="112" spans="2:10">
      <c r="B112" s="26" t="s">
        <v>140</v>
      </c>
      <c r="C112" s="27" t="s">
        <v>141</v>
      </c>
      <c r="D112" s="44" t="s">
        <v>97</v>
      </c>
      <c r="E112" s="44"/>
      <c r="F112" s="29">
        <v>30000000</v>
      </c>
      <c r="G112" s="29">
        <v>0</v>
      </c>
      <c r="H112" s="27">
        <v>6.06</v>
      </c>
      <c r="I112" s="30">
        <v>43935</v>
      </c>
      <c r="J112" s="30">
        <v>46126</v>
      </c>
    </row>
    <row r="113" spans="2:10">
      <c r="B113" s="26" t="s">
        <v>140</v>
      </c>
      <c r="C113" s="27" t="s">
        <v>141</v>
      </c>
      <c r="D113" s="44" t="s">
        <v>97</v>
      </c>
      <c r="E113" s="44"/>
      <c r="F113" s="29">
        <v>29800000</v>
      </c>
      <c r="G113" s="29">
        <v>0</v>
      </c>
      <c r="H113" s="27">
        <v>4.83</v>
      </c>
      <c r="I113" s="30">
        <v>45720</v>
      </c>
      <c r="J113" s="30">
        <v>46085</v>
      </c>
    </row>
    <row r="114" spans="2:10">
      <c r="B114" s="26" t="s">
        <v>140</v>
      </c>
      <c r="C114" s="27" t="s">
        <v>142</v>
      </c>
      <c r="D114" s="44" t="s">
        <v>98</v>
      </c>
      <c r="E114" s="44"/>
      <c r="F114" s="29">
        <v>1500000</v>
      </c>
      <c r="G114" s="29">
        <v>1521</v>
      </c>
      <c r="H114" s="27">
        <v>1.7</v>
      </c>
      <c r="I114" s="30">
        <v>42264</v>
      </c>
      <c r="J114" s="30">
        <v>2958465</v>
      </c>
    </row>
    <row r="115" spans="2:10">
      <c r="B115" s="45" t="s">
        <v>13</v>
      </c>
      <c r="C115" s="31"/>
      <c r="D115" s="46" t="s">
        <v>143</v>
      </c>
      <c r="E115" s="46"/>
      <c r="F115" s="31" t="s">
        <v>144</v>
      </c>
      <c r="G115" s="31" t="s">
        <v>145</v>
      </c>
      <c r="H115" s="31"/>
      <c r="I115" s="31"/>
      <c r="J115" s="32"/>
    </row>
    <row r="116" spans="2:10">
      <c r="B116" s="45"/>
      <c r="C116" s="33"/>
      <c r="D116" s="47">
        <f>SUM(4)</f>
        <v>4</v>
      </c>
      <c r="E116" s="47"/>
      <c r="F116" s="34">
        <f>SUM(F111:F114)</f>
        <v>115000000</v>
      </c>
      <c r="G116" s="34">
        <f>SUM(G111:G114)</f>
        <v>53124921</v>
      </c>
      <c r="H116" s="33"/>
      <c r="I116" s="33"/>
      <c r="J116" s="35"/>
    </row>
  </sheetData>
  <mergeCells count="119"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2:B55"/>
    <mergeCell ref="C52:D52"/>
    <mergeCell ref="C53:D53"/>
    <mergeCell ref="C54:D54"/>
    <mergeCell ref="C55:D55"/>
    <mergeCell ref="B56:B70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B74:B75"/>
    <mergeCell ref="C74:D74"/>
    <mergeCell ref="C75:D75"/>
    <mergeCell ref="C76:D76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B77:D77"/>
    <mergeCell ref="F77:H77"/>
    <mergeCell ref="B78:I78"/>
    <mergeCell ref="B79:I79"/>
    <mergeCell ref="C84:D84"/>
    <mergeCell ref="C85:D85"/>
    <mergeCell ref="C86:D86"/>
    <mergeCell ref="B87:B88"/>
    <mergeCell ref="C87:D87"/>
    <mergeCell ref="C88:D88"/>
    <mergeCell ref="D92:E92"/>
    <mergeCell ref="D93:E93"/>
    <mergeCell ref="D94:E94"/>
    <mergeCell ref="D95:E95"/>
    <mergeCell ref="D96:E96"/>
    <mergeCell ref="D110:E110"/>
    <mergeCell ref="D111:E111"/>
    <mergeCell ref="D112:E112"/>
    <mergeCell ref="D113:E113"/>
    <mergeCell ref="D114:E114"/>
    <mergeCell ref="B115:B116"/>
    <mergeCell ref="D115:E115"/>
    <mergeCell ref="D116:E11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B105:B106"/>
    <mergeCell ref="D105:E105"/>
    <mergeCell ref="D106:E10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1"/>
  <sheetViews>
    <sheetView tabSelected="1" workbookViewId="0">
      <selection activeCell="L22" sqref="L22"/>
    </sheetView>
  </sheetViews>
  <sheetFormatPr baseColWidth="10" defaultColWidth="8.83203125" defaultRowHeight="17"/>
  <cols>
    <col min="1" max="1" width="15.6640625" customWidth="1"/>
    <col min="6" max="6" width="20.6640625" customWidth="1"/>
    <col min="7" max="7" width="19.5" customWidth="1"/>
    <col min="9" max="10" width="20.6640625" customWidth="1"/>
    <col min="12" max="12" width="30" bestFit="1" customWidth="1"/>
    <col min="13" max="13" width="23" customWidth="1"/>
  </cols>
  <sheetData>
    <row r="1" spans="1:10">
      <c r="A1" s="40" t="s">
        <v>146</v>
      </c>
      <c r="B1" s="40" t="s">
        <v>147</v>
      </c>
      <c r="C1" s="40" t="s">
        <v>148</v>
      </c>
      <c r="D1" s="40" t="s">
        <v>149</v>
      </c>
      <c r="E1" s="40" t="s">
        <v>150</v>
      </c>
      <c r="F1" s="40" t="s">
        <v>151</v>
      </c>
      <c r="G1" s="40" t="s">
        <v>55</v>
      </c>
      <c r="H1" s="40" t="s">
        <v>152</v>
      </c>
      <c r="I1" s="40" t="s">
        <v>153</v>
      </c>
      <c r="J1" s="40" t="s">
        <v>154</v>
      </c>
    </row>
    <row r="2" spans="1:10">
      <c r="A2" s="41">
        <v>45937</v>
      </c>
      <c r="B2" s="42">
        <v>0.38864583333333341</v>
      </c>
      <c r="C2" t="s">
        <v>155</v>
      </c>
      <c r="D2" t="s">
        <v>42</v>
      </c>
      <c r="E2" t="s">
        <v>166</v>
      </c>
      <c r="F2" t="s">
        <v>167</v>
      </c>
      <c r="G2">
        <v>-990</v>
      </c>
      <c r="H2" t="s">
        <v>156</v>
      </c>
      <c r="I2" t="s">
        <v>168</v>
      </c>
    </row>
    <row r="3" spans="1:10">
      <c r="A3" s="41">
        <v>45937</v>
      </c>
      <c r="B3" s="42">
        <v>0.38863425925925932</v>
      </c>
      <c r="C3" t="s">
        <v>155</v>
      </c>
      <c r="D3" t="s">
        <v>42</v>
      </c>
      <c r="E3" t="s">
        <v>166</v>
      </c>
      <c r="F3" t="s">
        <v>167</v>
      </c>
      <c r="G3">
        <v>-3900</v>
      </c>
      <c r="H3" t="s">
        <v>156</v>
      </c>
      <c r="I3" t="s">
        <v>168</v>
      </c>
    </row>
    <row r="4" spans="1:10">
      <c r="A4" s="41">
        <v>45936</v>
      </c>
      <c r="B4" s="42">
        <v>0.28056712962962971</v>
      </c>
      <c r="C4" t="s">
        <v>155</v>
      </c>
      <c r="D4" t="s">
        <v>35</v>
      </c>
      <c r="E4" t="s">
        <v>169</v>
      </c>
      <c r="F4" t="s">
        <v>170</v>
      </c>
      <c r="G4">
        <v>-990</v>
      </c>
      <c r="H4" t="s">
        <v>156</v>
      </c>
      <c r="I4" t="s">
        <v>168</v>
      </c>
    </row>
    <row r="5" spans="1:10">
      <c r="A5" s="41">
        <v>45925</v>
      </c>
      <c r="B5" s="42">
        <v>0.97031250000000002</v>
      </c>
      <c r="C5" t="s">
        <v>155</v>
      </c>
      <c r="D5" t="s">
        <v>42</v>
      </c>
      <c r="E5" t="s">
        <v>171</v>
      </c>
      <c r="F5" t="s">
        <v>172</v>
      </c>
      <c r="G5">
        <v>-13000</v>
      </c>
      <c r="H5" t="s">
        <v>156</v>
      </c>
      <c r="I5" t="s">
        <v>168</v>
      </c>
    </row>
    <row r="6" spans="1:10">
      <c r="A6" s="41">
        <v>45920</v>
      </c>
      <c r="B6" s="42">
        <v>0.57563657407407409</v>
      </c>
      <c r="C6" t="s">
        <v>155</v>
      </c>
      <c r="D6" t="s">
        <v>42</v>
      </c>
      <c r="E6" t="s">
        <v>171</v>
      </c>
      <c r="F6" t="s">
        <v>172</v>
      </c>
      <c r="G6">
        <v>-6500</v>
      </c>
      <c r="H6" t="s">
        <v>156</v>
      </c>
      <c r="I6" t="s">
        <v>168</v>
      </c>
    </row>
    <row r="7" spans="1:10">
      <c r="A7" s="41">
        <v>45912</v>
      </c>
      <c r="B7" s="42">
        <v>0.33394675925925932</v>
      </c>
      <c r="C7" t="s">
        <v>155</v>
      </c>
      <c r="D7" t="s">
        <v>42</v>
      </c>
      <c r="E7" t="s">
        <v>171</v>
      </c>
      <c r="F7" t="s">
        <v>172</v>
      </c>
      <c r="G7">
        <v>-19500</v>
      </c>
      <c r="H7" t="s">
        <v>156</v>
      </c>
      <c r="I7" t="s">
        <v>168</v>
      </c>
    </row>
    <row r="8" spans="1:10">
      <c r="A8" s="41">
        <v>45907</v>
      </c>
      <c r="B8" s="42">
        <v>0.3888773148148148</v>
      </c>
      <c r="C8" t="s">
        <v>155</v>
      </c>
      <c r="D8" t="s">
        <v>42</v>
      </c>
      <c r="E8" t="s">
        <v>166</v>
      </c>
      <c r="F8" t="s">
        <v>167</v>
      </c>
      <c r="G8">
        <v>-990</v>
      </c>
      <c r="H8" t="s">
        <v>156</v>
      </c>
      <c r="I8" t="s">
        <v>168</v>
      </c>
    </row>
    <row r="9" spans="1:10">
      <c r="A9" s="41">
        <v>45907</v>
      </c>
      <c r="B9" s="42">
        <v>0.38886574074074082</v>
      </c>
      <c r="C9" t="s">
        <v>155</v>
      </c>
      <c r="D9" t="s">
        <v>42</v>
      </c>
      <c r="E9" t="s">
        <v>166</v>
      </c>
      <c r="F9" t="s">
        <v>167</v>
      </c>
      <c r="G9">
        <v>-3900</v>
      </c>
      <c r="H9" t="s">
        <v>156</v>
      </c>
      <c r="I9" t="s">
        <v>168</v>
      </c>
    </row>
    <row r="10" spans="1:10">
      <c r="A10" s="41">
        <v>45906</v>
      </c>
      <c r="B10" s="42">
        <v>0.28056712962962971</v>
      </c>
      <c r="C10" t="s">
        <v>155</v>
      </c>
      <c r="D10" t="s">
        <v>35</v>
      </c>
      <c r="E10" t="s">
        <v>169</v>
      </c>
      <c r="F10" t="s">
        <v>170</v>
      </c>
      <c r="G10">
        <v>-990</v>
      </c>
      <c r="H10" t="s">
        <v>156</v>
      </c>
      <c r="I10" t="s">
        <v>168</v>
      </c>
    </row>
    <row r="11" spans="1:10">
      <c r="A11" s="41">
        <v>45897</v>
      </c>
      <c r="B11" s="42">
        <v>0.80865740740740744</v>
      </c>
      <c r="C11" t="s">
        <v>155</v>
      </c>
      <c r="D11" t="s">
        <v>34</v>
      </c>
      <c r="E11" t="s">
        <v>173</v>
      </c>
      <c r="F11" t="s">
        <v>174</v>
      </c>
      <c r="G11">
        <v>-2000</v>
      </c>
      <c r="H11" t="s">
        <v>156</v>
      </c>
      <c r="I11" t="s">
        <v>168</v>
      </c>
    </row>
    <row r="12" spans="1:10">
      <c r="A12" s="41">
        <v>45897</v>
      </c>
      <c r="B12" s="42">
        <v>0.70321759259259264</v>
      </c>
      <c r="C12" t="s">
        <v>155</v>
      </c>
      <c r="D12" t="s">
        <v>41</v>
      </c>
      <c r="E12" t="s">
        <v>175</v>
      </c>
      <c r="F12" t="s">
        <v>176</v>
      </c>
      <c r="G12">
        <v>-146100</v>
      </c>
      <c r="H12" t="s">
        <v>156</v>
      </c>
      <c r="I12" t="s">
        <v>168</v>
      </c>
    </row>
    <row r="13" spans="1:10">
      <c r="A13" s="41">
        <v>45896</v>
      </c>
      <c r="B13" s="42">
        <v>0.37652777777777779</v>
      </c>
      <c r="C13" t="s">
        <v>155</v>
      </c>
      <c r="D13" t="s">
        <v>42</v>
      </c>
      <c r="E13" t="s">
        <v>171</v>
      </c>
      <c r="F13" t="s">
        <v>172</v>
      </c>
      <c r="G13">
        <v>-12000</v>
      </c>
      <c r="H13" t="s">
        <v>156</v>
      </c>
      <c r="I13" t="s">
        <v>168</v>
      </c>
    </row>
    <row r="14" spans="1:10">
      <c r="A14" s="41">
        <v>45895</v>
      </c>
      <c r="B14" s="42">
        <v>0.48969907407407409</v>
      </c>
      <c r="C14" t="s">
        <v>155</v>
      </c>
      <c r="D14" t="s">
        <v>42</v>
      </c>
      <c r="E14" t="s">
        <v>177</v>
      </c>
      <c r="F14" t="s">
        <v>170</v>
      </c>
      <c r="G14">
        <v>-4640</v>
      </c>
      <c r="H14" t="s">
        <v>156</v>
      </c>
      <c r="I14" t="s">
        <v>168</v>
      </c>
    </row>
    <row r="15" spans="1:10">
      <c r="A15" s="41">
        <v>45894</v>
      </c>
      <c r="B15" s="42">
        <v>0.97042824074074074</v>
      </c>
      <c r="C15" t="s">
        <v>155</v>
      </c>
      <c r="D15" t="s">
        <v>42</v>
      </c>
      <c r="E15" t="s">
        <v>171</v>
      </c>
      <c r="F15" t="s">
        <v>172</v>
      </c>
      <c r="G15">
        <v>-13000</v>
      </c>
      <c r="H15" t="s">
        <v>156</v>
      </c>
      <c r="I15" t="s">
        <v>168</v>
      </c>
    </row>
    <row r="16" spans="1:10">
      <c r="A16" s="41">
        <v>45889</v>
      </c>
      <c r="B16" s="42">
        <v>0.57571759259259259</v>
      </c>
      <c r="C16" t="s">
        <v>155</v>
      </c>
      <c r="D16" t="s">
        <v>42</v>
      </c>
      <c r="E16" t="s">
        <v>171</v>
      </c>
      <c r="F16" t="s">
        <v>172</v>
      </c>
      <c r="G16">
        <v>-6500</v>
      </c>
      <c r="H16" t="s">
        <v>156</v>
      </c>
      <c r="I16" t="s">
        <v>168</v>
      </c>
    </row>
    <row r="17" spans="1:9">
      <c r="A17" s="41">
        <v>45881</v>
      </c>
      <c r="B17" s="42">
        <v>0.33377314814814812</v>
      </c>
      <c r="C17" t="s">
        <v>155</v>
      </c>
      <c r="D17" t="s">
        <v>42</v>
      </c>
      <c r="E17" t="s">
        <v>171</v>
      </c>
      <c r="F17" t="s">
        <v>172</v>
      </c>
      <c r="G17">
        <v>-19500</v>
      </c>
      <c r="H17" t="s">
        <v>156</v>
      </c>
      <c r="I17" t="s">
        <v>168</v>
      </c>
    </row>
    <row r="18" spans="1:9">
      <c r="A18" s="41">
        <v>45878</v>
      </c>
      <c r="B18" s="42">
        <v>2.0057870370370368E-2</v>
      </c>
      <c r="C18" t="s">
        <v>155</v>
      </c>
      <c r="D18" t="s">
        <v>33</v>
      </c>
      <c r="E18" t="s">
        <v>178</v>
      </c>
      <c r="F18" t="s">
        <v>179</v>
      </c>
      <c r="G18">
        <v>-11200</v>
      </c>
      <c r="H18" t="s">
        <v>156</v>
      </c>
      <c r="I18" t="s">
        <v>168</v>
      </c>
    </row>
    <row r="19" spans="1:9">
      <c r="A19" s="41">
        <v>45878</v>
      </c>
      <c r="B19" s="42">
        <v>2.0046296296296291E-2</v>
      </c>
      <c r="C19" t="s">
        <v>155</v>
      </c>
      <c r="D19" t="s">
        <v>33</v>
      </c>
      <c r="E19" t="s">
        <v>178</v>
      </c>
      <c r="F19" t="s">
        <v>179</v>
      </c>
      <c r="G19">
        <v>-4000</v>
      </c>
      <c r="H19" t="s">
        <v>156</v>
      </c>
      <c r="I19" t="s">
        <v>168</v>
      </c>
    </row>
    <row r="20" spans="1:9">
      <c r="A20" s="41">
        <v>45878</v>
      </c>
      <c r="B20" s="42">
        <v>1.0949074074074069E-2</v>
      </c>
      <c r="C20" t="s">
        <v>155</v>
      </c>
      <c r="D20" t="s">
        <v>33</v>
      </c>
      <c r="E20" t="s">
        <v>178</v>
      </c>
      <c r="F20" t="s">
        <v>179</v>
      </c>
      <c r="G20">
        <v>15700</v>
      </c>
      <c r="H20" t="s">
        <v>156</v>
      </c>
      <c r="I20" t="s">
        <v>168</v>
      </c>
    </row>
    <row r="21" spans="1:9">
      <c r="A21" s="41">
        <v>45878</v>
      </c>
      <c r="B21" s="42">
        <v>1.0949074074074069E-2</v>
      </c>
      <c r="C21" t="s">
        <v>155</v>
      </c>
      <c r="D21" t="s">
        <v>33</v>
      </c>
      <c r="E21" t="s">
        <v>178</v>
      </c>
      <c r="F21" t="s">
        <v>179</v>
      </c>
      <c r="G21">
        <v>-15700</v>
      </c>
      <c r="H21" t="s">
        <v>156</v>
      </c>
      <c r="I21" t="s">
        <v>168</v>
      </c>
    </row>
    <row r="22" spans="1:9">
      <c r="A22" s="41">
        <v>45876</v>
      </c>
      <c r="B22" s="42">
        <v>0.38914351851851853</v>
      </c>
      <c r="C22" t="s">
        <v>155</v>
      </c>
      <c r="D22" t="s">
        <v>42</v>
      </c>
      <c r="E22" t="s">
        <v>166</v>
      </c>
      <c r="F22" t="s">
        <v>167</v>
      </c>
      <c r="G22">
        <v>-990</v>
      </c>
      <c r="H22" t="s">
        <v>156</v>
      </c>
      <c r="I22" t="s">
        <v>168</v>
      </c>
    </row>
    <row r="23" spans="1:9">
      <c r="A23" s="41">
        <v>45876</v>
      </c>
      <c r="B23" s="42">
        <v>0.38913194444444438</v>
      </c>
      <c r="C23" t="s">
        <v>155</v>
      </c>
      <c r="D23" t="s">
        <v>42</v>
      </c>
      <c r="E23" t="s">
        <v>166</v>
      </c>
      <c r="F23" t="s">
        <v>167</v>
      </c>
      <c r="G23">
        <v>-3900</v>
      </c>
      <c r="H23" t="s">
        <v>156</v>
      </c>
      <c r="I23" t="s">
        <v>168</v>
      </c>
    </row>
    <row r="24" spans="1:9">
      <c r="A24" s="41">
        <v>45875</v>
      </c>
      <c r="B24" s="42">
        <v>0.28056712962962971</v>
      </c>
      <c r="C24" t="s">
        <v>155</v>
      </c>
      <c r="D24" t="s">
        <v>35</v>
      </c>
      <c r="E24" t="s">
        <v>169</v>
      </c>
      <c r="F24" t="s">
        <v>170</v>
      </c>
      <c r="G24">
        <v>-990</v>
      </c>
      <c r="H24" t="s">
        <v>156</v>
      </c>
      <c r="I24" t="s">
        <v>168</v>
      </c>
    </row>
    <row r="25" spans="1:9">
      <c r="A25" s="41">
        <v>45870</v>
      </c>
      <c r="B25" s="42">
        <v>0.5989930555555556</v>
      </c>
      <c r="C25" t="s">
        <v>155</v>
      </c>
      <c r="D25" t="s">
        <v>42</v>
      </c>
      <c r="E25" t="s">
        <v>177</v>
      </c>
      <c r="F25" t="s">
        <v>170</v>
      </c>
      <c r="G25">
        <v>-28600</v>
      </c>
      <c r="H25" t="s">
        <v>156</v>
      </c>
      <c r="I25" t="s">
        <v>168</v>
      </c>
    </row>
    <row r="26" spans="1:9">
      <c r="A26" s="41">
        <v>45867</v>
      </c>
      <c r="B26" s="42">
        <v>0.30158564814814809</v>
      </c>
      <c r="C26" t="s">
        <v>155</v>
      </c>
      <c r="D26" t="s">
        <v>42</v>
      </c>
      <c r="E26" t="s">
        <v>166</v>
      </c>
      <c r="F26" t="s">
        <v>167</v>
      </c>
      <c r="G26">
        <v>-8200</v>
      </c>
      <c r="H26" t="s">
        <v>156</v>
      </c>
      <c r="I26" t="s">
        <v>168</v>
      </c>
    </row>
    <row r="27" spans="1:9">
      <c r="A27" s="41">
        <v>45863</v>
      </c>
      <c r="B27" s="42">
        <v>0.97210648148148149</v>
      </c>
      <c r="C27" t="s">
        <v>155</v>
      </c>
      <c r="D27" t="s">
        <v>42</v>
      </c>
      <c r="E27" t="s">
        <v>171</v>
      </c>
      <c r="F27" t="s">
        <v>172</v>
      </c>
      <c r="G27">
        <v>-13000</v>
      </c>
      <c r="H27" t="s">
        <v>156</v>
      </c>
      <c r="I27" t="s">
        <v>168</v>
      </c>
    </row>
    <row r="28" spans="1:9">
      <c r="A28" s="41">
        <v>45860</v>
      </c>
      <c r="B28" s="42">
        <v>0.12792824074074069</v>
      </c>
      <c r="C28" t="s">
        <v>155</v>
      </c>
      <c r="D28" t="s">
        <v>35</v>
      </c>
      <c r="E28" t="s">
        <v>180</v>
      </c>
      <c r="F28" t="s">
        <v>170</v>
      </c>
      <c r="G28">
        <v>-40000</v>
      </c>
      <c r="H28" t="s">
        <v>156</v>
      </c>
      <c r="I28" t="s">
        <v>168</v>
      </c>
    </row>
    <row r="29" spans="1:9">
      <c r="A29" s="41">
        <v>45858</v>
      </c>
      <c r="B29" s="42">
        <v>0.57660879629629624</v>
      </c>
      <c r="C29" t="s">
        <v>155</v>
      </c>
      <c r="D29" t="s">
        <v>42</v>
      </c>
      <c r="E29" t="s">
        <v>171</v>
      </c>
      <c r="F29" t="s">
        <v>172</v>
      </c>
      <c r="G29">
        <v>-6500</v>
      </c>
      <c r="H29" t="s">
        <v>156</v>
      </c>
      <c r="I29" t="s">
        <v>168</v>
      </c>
    </row>
    <row r="30" spans="1:9">
      <c r="A30" s="41">
        <v>45850</v>
      </c>
      <c r="B30" s="42">
        <v>0.33351851851851849</v>
      </c>
      <c r="C30" t="s">
        <v>155</v>
      </c>
      <c r="D30" t="s">
        <v>42</v>
      </c>
      <c r="E30" t="s">
        <v>171</v>
      </c>
      <c r="F30" t="s">
        <v>172</v>
      </c>
      <c r="G30">
        <v>-19500</v>
      </c>
      <c r="H30" t="s">
        <v>156</v>
      </c>
      <c r="I30" t="s">
        <v>168</v>
      </c>
    </row>
    <row r="31" spans="1:9">
      <c r="A31" s="41">
        <v>45849</v>
      </c>
      <c r="B31" s="42">
        <v>0.68253472222222222</v>
      </c>
      <c r="C31" t="s">
        <v>155</v>
      </c>
      <c r="D31" t="s">
        <v>44</v>
      </c>
      <c r="E31" t="s">
        <v>181</v>
      </c>
      <c r="F31" t="s">
        <v>182</v>
      </c>
      <c r="G31">
        <v>-1000</v>
      </c>
      <c r="H31" t="s">
        <v>156</v>
      </c>
      <c r="I31" t="s">
        <v>168</v>
      </c>
    </row>
    <row r="32" spans="1:9">
      <c r="A32" s="41">
        <v>45845</v>
      </c>
      <c r="B32" s="42">
        <v>0.38949074074074069</v>
      </c>
      <c r="C32" t="s">
        <v>155</v>
      </c>
      <c r="D32" t="s">
        <v>42</v>
      </c>
      <c r="E32" t="s">
        <v>166</v>
      </c>
      <c r="F32" t="s">
        <v>167</v>
      </c>
      <c r="G32">
        <v>-990</v>
      </c>
      <c r="H32" t="s">
        <v>156</v>
      </c>
      <c r="I32" t="s">
        <v>168</v>
      </c>
    </row>
    <row r="33" spans="1:9">
      <c r="A33" s="41">
        <v>45845</v>
      </c>
      <c r="B33" s="42">
        <v>0.38946759259259262</v>
      </c>
      <c r="C33" t="s">
        <v>155</v>
      </c>
      <c r="D33" t="s">
        <v>42</v>
      </c>
      <c r="E33" t="s">
        <v>166</v>
      </c>
      <c r="F33" t="s">
        <v>167</v>
      </c>
      <c r="G33">
        <v>-3900</v>
      </c>
      <c r="H33" t="s">
        <v>156</v>
      </c>
      <c r="I33" t="s">
        <v>168</v>
      </c>
    </row>
    <row r="34" spans="1:9">
      <c r="A34" s="41">
        <v>45844</v>
      </c>
      <c r="B34" s="42">
        <v>0.28056712962962971</v>
      </c>
      <c r="C34" t="s">
        <v>155</v>
      </c>
      <c r="D34" t="s">
        <v>35</v>
      </c>
      <c r="E34" t="s">
        <v>169</v>
      </c>
      <c r="F34" t="s">
        <v>170</v>
      </c>
      <c r="G34">
        <v>-990</v>
      </c>
      <c r="H34" t="s">
        <v>156</v>
      </c>
      <c r="I34" t="s">
        <v>168</v>
      </c>
    </row>
    <row r="35" spans="1:9">
      <c r="A35" s="41">
        <v>45833</v>
      </c>
      <c r="B35" s="42">
        <v>0.97027777777777779</v>
      </c>
      <c r="C35" t="s">
        <v>155</v>
      </c>
      <c r="D35" t="s">
        <v>42</v>
      </c>
      <c r="E35" t="s">
        <v>171</v>
      </c>
      <c r="F35" t="s">
        <v>172</v>
      </c>
      <c r="G35">
        <v>-13000</v>
      </c>
      <c r="H35" t="s">
        <v>156</v>
      </c>
      <c r="I35" t="s">
        <v>168</v>
      </c>
    </row>
    <row r="36" spans="1:9">
      <c r="A36" s="41">
        <v>45828</v>
      </c>
      <c r="B36" s="42">
        <v>0.57621527777777781</v>
      </c>
      <c r="C36" t="s">
        <v>155</v>
      </c>
      <c r="D36" t="s">
        <v>42</v>
      </c>
      <c r="E36" t="s">
        <v>171</v>
      </c>
      <c r="F36" t="s">
        <v>172</v>
      </c>
      <c r="G36">
        <v>-6500</v>
      </c>
      <c r="H36" t="s">
        <v>156</v>
      </c>
      <c r="I36" t="s">
        <v>168</v>
      </c>
    </row>
    <row r="37" spans="1:9">
      <c r="A37" s="41">
        <v>45821</v>
      </c>
      <c r="B37" s="42">
        <v>0.33385416666666667</v>
      </c>
      <c r="C37" t="s">
        <v>155</v>
      </c>
      <c r="D37" t="s">
        <v>42</v>
      </c>
      <c r="E37" t="s">
        <v>171</v>
      </c>
      <c r="F37" t="s">
        <v>172</v>
      </c>
      <c r="G37">
        <v>-19500</v>
      </c>
      <c r="H37" t="s">
        <v>156</v>
      </c>
      <c r="I37" t="s">
        <v>168</v>
      </c>
    </row>
    <row r="38" spans="1:9">
      <c r="A38" s="41">
        <v>45815</v>
      </c>
      <c r="B38" s="42">
        <v>0.38885416666666672</v>
      </c>
      <c r="C38" t="s">
        <v>155</v>
      </c>
      <c r="D38" t="s">
        <v>42</v>
      </c>
      <c r="E38" t="s">
        <v>166</v>
      </c>
      <c r="F38" t="s">
        <v>167</v>
      </c>
      <c r="G38">
        <v>-990</v>
      </c>
      <c r="H38" t="s">
        <v>156</v>
      </c>
      <c r="I38" t="s">
        <v>168</v>
      </c>
    </row>
    <row r="39" spans="1:9">
      <c r="A39" s="41">
        <v>45815</v>
      </c>
      <c r="B39" s="42">
        <v>0.38884259259259257</v>
      </c>
      <c r="C39" t="s">
        <v>155</v>
      </c>
      <c r="D39" t="s">
        <v>42</v>
      </c>
      <c r="E39" t="s">
        <v>166</v>
      </c>
      <c r="F39" t="s">
        <v>167</v>
      </c>
      <c r="G39">
        <v>-3900</v>
      </c>
      <c r="H39" t="s">
        <v>156</v>
      </c>
      <c r="I39" t="s">
        <v>168</v>
      </c>
    </row>
    <row r="40" spans="1:9">
      <c r="A40" s="41">
        <v>45815</v>
      </c>
      <c r="B40" s="42">
        <v>0.35707175925925932</v>
      </c>
      <c r="C40" t="s">
        <v>155</v>
      </c>
      <c r="D40" t="s">
        <v>42</v>
      </c>
      <c r="E40" t="s">
        <v>171</v>
      </c>
      <c r="F40" t="s">
        <v>172</v>
      </c>
      <c r="G40">
        <v>-6600</v>
      </c>
      <c r="H40" t="s">
        <v>156</v>
      </c>
      <c r="I40" t="s">
        <v>168</v>
      </c>
    </row>
    <row r="41" spans="1:9">
      <c r="A41" s="41">
        <v>45814</v>
      </c>
      <c r="B41" s="42">
        <v>0.28056712962962971</v>
      </c>
      <c r="C41" t="s">
        <v>155</v>
      </c>
      <c r="D41" t="s">
        <v>35</v>
      </c>
      <c r="E41" t="s">
        <v>169</v>
      </c>
      <c r="F41" t="s">
        <v>170</v>
      </c>
      <c r="G41">
        <v>-990</v>
      </c>
      <c r="H41" t="s">
        <v>156</v>
      </c>
      <c r="I41" t="s">
        <v>168</v>
      </c>
    </row>
    <row r="42" spans="1:9">
      <c r="A42" s="41">
        <v>45812</v>
      </c>
      <c r="B42" s="42">
        <v>0.76710648148148153</v>
      </c>
      <c r="C42" t="s">
        <v>155</v>
      </c>
      <c r="D42" t="s">
        <v>44</v>
      </c>
      <c r="E42" t="s">
        <v>181</v>
      </c>
      <c r="F42" t="s">
        <v>182</v>
      </c>
      <c r="G42">
        <v>-1000</v>
      </c>
      <c r="H42" t="s">
        <v>156</v>
      </c>
      <c r="I42" t="s">
        <v>168</v>
      </c>
    </row>
    <row r="43" spans="1:9">
      <c r="A43" s="41">
        <v>45810</v>
      </c>
      <c r="B43" s="42">
        <v>0.64291666666666669</v>
      </c>
      <c r="C43" t="s">
        <v>155</v>
      </c>
      <c r="D43" t="s">
        <v>44</v>
      </c>
      <c r="E43" t="s">
        <v>183</v>
      </c>
      <c r="F43" t="s">
        <v>184</v>
      </c>
      <c r="G43">
        <v>-9000</v>
      </c>
      <c r="H43" t="s">
        <v>156</v>
      </c>
      <c r="I43" t="s">
        <v>168</v>
      </c>
    </row>
    <row r="44" spans="1:9">
      <c r="A44" s="41">
        <v>45809</v>
      </c>
      <c r="B44" s="42">
        <v>0.59057870370370369</v>
      </c>
      <c r="C44" t="s">
        <v>155</v>
      </c>
      <c r="D44" t="s">
        <v>42</v>
      </c>
      <c r="E44" t="s">
        <v>166</v>
      </c>
      <c r="F44" t="s">
        <v>167</v>
      </c>
      <c r="G44">
        <v>-45500</v>
      </c>
      <c r="H44" t="s">
        <v>156</v>
      </c>
      <c r="I44" t="s">
        <v>168</v>
      </c>
    </row>
    <row r="45" spans="1:9">
      <c r="A45" s="41">
        <v>45807</v>
      </c>
      <c r="B45" s="42">
        <v>6.3692129629629626E-2</v>
      </c>
      <c r="C45" t="s">
        <v>155</v>
      </c>
      <c r="D45" t="s">
        <v>35</v>
      </c>
      <c r="E45" t="s">
        <v>180</v>
      </c>
      <c r="F45" t="s">
        <v>170</v>
      </c>
      <c r="G45">
        <v>-16500</v>
      </c>
      <c r="H45" t="s">
        <v>156</v>
      </c>
      <c r="I45" t="s">
        <v>168</v>
      </c>
    </row>
    <row r="46" spans="1:9">
      <c r="A46" s="41">
        <v>45802</v>
      </c>
      <c r="B46" s="42">
        <v>0.97047453703703701</v>
      </c>
      <c r="C46" t="s">
        <v>155</v>
      </c>
      <c r="D46" t="s">
        <v>42</v>
      </c>
      <c r="E46" t="s">
        <v>171</v>
      </c>
      <c r="F46" t="s">
        <v>172</v>
      </c>
      <c r="G46">
        <v>-13000</v>
      </c>
      <c r="H46" t="s">
        <v>156</v>
      </c>
      <c r="I46" t="s">
        <v>168</v>
      </c>
    </row>
    <row r="47" spans="1:9">
      <c r="A47" s="41">
        <v>45802</v>
      </c>
      <c r="B47" s="42">
        <v>0.51081018518518517</v>
      </c>
      <c r="C47" t="s">
        <v>155</v>
      </c>
      <c r="D47" t="s">
        <v>33</v>
      </c>
      <c r="E47" t="s">
        <v>178</v>
      </c>
      <c r="F47" t="s">
        <v>179</v>
      </c>
      <c r="G47">
        <v>-6400</v>
      </c>
      <c r="H47" t="s">
        <v>156</v>
      </c>
      <c r="I47" t="s">
        <v>168</v>
      </c>
    </row>
    <row r="48" spans="1:9">
      <c r="A48" s="41">
        <v>45802</v>
      </c>
      <c r="B48" s="42">
        <v>0.50440972222222225</v>
      </c>
      <c r="C48" t="s">
        <v>155</v>
      </c>
      <c r="D48" t="s">
        <v>33</v>
      </c>
      <c r="E48" t="s">
        <v>178</v>
      </c>
      <c r="F48" t="s">
        <v>179</v>
      </c>
      <c r="G48">
        <v>-6000</v>
      </c>
      <c r="H48" t="s">
        <v>156</v>
      </c>
      <c r="I48" t="s">
        <v>168</v>
      </c>
    </row>
    <row r="49" spans="1:9">
      <c r="A49" s="41">
        <v>45802</v>
      </c>
      <c r="B49" s="42">
        <v>0.50440972222222225</v>
      </c>
      <c r="C49" t="s">
        <v>155</v>
      </c>
      <c r="D49" t="s">
        <v>33</v>
      </c>
      <c r="E49" t="s">
        <v>178</v>
      </c>
      <c r="F49" t="s">
        <v>179</v>
      </c>
      <c r="G49">
        <v>6000</v>
      </c>
      <c r="H49" t="s">
        <v>156</v>
      </c>
      <c r="I49" t="s">
        <v>168</v>
      </c>
    </row>
    <row r="50" spans="1:9">
      <c r="A50" s="41">
        <v>45797</v>
      </c>
      <c r="B50" s="42">
        <v>0.57552083333333337</v>
      </c>
      <c r="C50" t="s">
        <v>155</v>
      </c>
      <c r="D50" t="s">
        <v>42</v>
      </c>
      <c r="E50" t="s">
        <v>171</v>
      </c>
      <c r="F50" t="s">
        <v>172</v>
      </c>
      <c r="G50">
        <v>-6500</v>
      </c>
      <c r="H50" t="s">
        <v>156</v>
      </c>
      <c r="I50" t="s">
        <v>168</v>
      </c>
    </row>
    <row r="51" spans="1:9">
      <c r="A51" s="41">
        <v>45794</v>
      </c>
      <c r="B51" s="42">
        <v>0.9559375</v>
      </c>
      <c r="C51" t="s">
        <v>155</v>
      </c>
      <c r="D51" t="s">
        <v>42</v>
      </c>
      <c r="E51" t="s">
        <v>177</v>
      </c>
      <c r="F51" t="s">
        <v>185</v>
      </c>
      <c r="G51">
        <v>-36600</v>
      </c>
      <c r="H51" t="s">
        <v>156</v>
      </c>
      <c r="I51" t="s">
        <v>168</v>
      </c>
    </row>
    <row r="52" spans="1:9">
      <c r="A52" s="41">
        <v>45792</v>
      </c>
      <c r="B52" s="42">
        <v>0.64179398148148148</v>
      </c>
      <c r="C52" t="s">
        <v>155</v>
      </c>
      <c r="D52" t="s">
        <v>42</v>
      </c>
      <c r="E52" t="s">
        <v>166</v>
      </c>
      <c r="F52" t="s">
        <v>167</v>
      </c>
      <c r="G52">
        <v>-9000</v>
      </c>
      <c r="H52" t="s">
        <v>156</v>
      </c>
      <c r="I52" t="s">
        <v>168</v>
      </c>
    </row>
    <row r="53" spans="1:9">
      <c r="A53" s="41">
        <v>45791</v>
      </c>
      <c r="B53" s="42">
        <v>0.64902777777777776</v>
      </c>
      <c r="C53" t="s">
        <v>155</v>
      </c>
      <c r="D53" t="s">
        <v>42</v>
      </c>
      <c r="E53" t="s">
        <v>166</v>
      </c>
      <c r="F53" t="s">
        <v>167</v>
      </c>
      <c r="G53">
        <v>-9000</v>
      </c>
      <c r="H53" t="s">
        <v>156</v>
      </c>
      <c r="I53" t="s">
        <v>168</v>
      </c>
    </row>
    <row r="54" spans="1:9">
      <c r="A54" s="41">
        <v>45790</v>
      </c>
      <c r="B54" s="42">
        <v>0.66920138888888892</v>
      </c>
      <c r="C54" t="s">
        <v>155</v>
      </c>
      <c r="D54" t="s">
        <v>42</v>
      </c>
      <c r="E54" t="s">
        <v>166</v>
      </c>
      <c r="F54" t="s">
        <v>167</v>
      </c>
      <c r="G54">
        <v>-9000</v>
      </c>
      <c r="H54" t="s">
        <v>156</v>
      </c>
      <c r="I54" t="s">
        <v>168</v>
      </c>
    </row>
    <row r="55" spans="1:9">
      <c r="A55" s="41">
        <v>45790</v>
      </c>
      <c r="B55" s="42">
        <v>0.33358796296296289</v>
      </c>
      <c r="C55" t="s">
        <v>155</v>
      </c>
      <c r="D55" t="s">
        <v>42</v>
      </c>
      <c r="E55" t="s">
        <v>171</v>
      </c>
      <c r="F55" t="s">
        <v>172</v>
      </c>
      <c r="G55">
        <v>-19500</v>
      </c>
      <c r="H55" t="s">
        <v>156</v>
      </c>
      <c r="I55" t="s">
        <v>168</v>
      </c>
    </row>
    <row r="56" spans="1:9">
      <c r="A56" s="41">
        <v>45789</v>
      </c>
      <c r="B56" s="42">
        <v>0.3081712962962963</v>
      </c>
      <c r="C56" t="s">
        <v>155</v>
      </c>
      <c r="D56" t="s">
        <v>42</v>
      </c>
      <c r="E56" t="s">
        <v>171</v>
      </c>
      <c r="F56" t="s">
        <v>172</v>
      </c>
      <c r="G56">
        <v>-3300</v>
      </c>
      <c r="H56" t="s">
        <v>156</v>
      </c>
      <c r="I56" t="s">
        <v>168</v>
      </c>
    </row>
    <row r="57" spans="1:9">
      <c r="A57" s="41">
        <v>45787</v>
      </c>
      <c r="B57" s="42">
        <v>0.86357638888888888</v>
      </c>
      <c r="C57" t="s">
        <v>155</v>
      </c>
      <c r="D57" t="s">
        <v>42</v>
      </c>
      <c r="E57" t="s">
        <v>166</v>
      </c>
      <c r="F57" t="s">
        <v>167</v>
      </c>
      <c r="G57">
        <v>-29000</v>
      </c>
      <c r="H57" t="s">
        <v>156</v>
      </c>
      <c r="I57" t="s">
        <v>168</v>
      </c>
    </row>
    <row r="58" spans="1:9">
      <c r="A58" s="41">
        <v>45786</v>
      </c>
      <c r="B58" s="42">
        <v>0.65298611111111116</v>
      </c>
      <c r="C58" t="s">
        <v>155</v>
      </c>
      <c r="D58" t="s">
        <v>42</v>
      </c>
      <c r="E58" t="s">
        <v>166</v>
      </c>
      <c r="F58" t="s">
        <v>167</v>
      </c>
      <c r="G58">
        <v>-9000</v>
      </c>
      <c r="H58" t="s">
        <v>156</v>
      </c>
      <c r="I58" t="s">
        <v>168</v>
      </c>
    </row>
    <row r="59" spans="1:9">
      <c r="A59" s="41">
        <v>45785</v>
      </c>
      <c r="B59" s="42">
        <v>0.67446759259259259</v>
      </c>
      <c r="C59" t="s">
        <v>155</v>
      </c>
      <c r="D59" t="s">
        <v>42</v>
      </c>
      <c r="E59" t="s">
        <v>166</v>
      </c>
      <c r="F59" t="s">
        <v>167</v>
      </c>
      <c r="G59">
        <v>-9000</v>
      </c>
      <c r="H59" t="s">
        <v>156</v>
      </c>
      <c r="I59" t="s">
        <v>168</v>
      </c>
    </row>
    <row r="60" spans="1:9">
      <c r="A60" s="41">
        <v>45784</v>
      </c>
      <c r="B60" s="42">
        <v>0.38900462962962962</v>
      </c>
      <c r="C60" t="s">
        <v>155</v>
      </c>
      <c r="D60" t="s">
        <v>42</v>
      </c>
      <c r="E60" t="s">
        <v>166</v>
      </c>
      <c r="F60" t="s">
        <v>167</v>
      </c>
      <c r="G60">
        <v>-990</v>
      </c>
      <c r="H60" t="s">
        <v>156</v>
      </c>
      <c r="I60" t="s">
        <v>168</v>
      </c>
    </row>
    <row r="61" spans="1:9">
      <c r="A61" s="41">
        <v>45784</v>
      </c>
      <c r="B61" s="42">
        <v>0.38900462962962962</v>
      </c>
      <c r="C61" t="s">
        <v>155</v>
      </c>
      <c r="D61" t="s">
        <v>42</v>
      </c>
      <c r="E61" t="s">
        <v>166</v>
      </c>
      <c r="F61" t="s">
        <v>167</v>
      </c>
      <c r="G61">
        <v>-990</v>
      </c>
      <c r="H61" t="s">
        <v>156</v>
      </c>
      <c r="I61" t="s">
        <v>168</v>
      </c>
    </row>
    <row r="62" spans="1:9">
      <c r="A62" s="41">
        <v>45784</v>
      </c>
      <c r="B62" s="42">
        <v>0.38899305555555558</v>
      </c>
      <c r="C62" t="s">
        <v>155</v>
      </c>
      <c r="D62" t="s">
        <v>42</v>
      </c>
      <c r="E62" t="s">
        <v>166</v>
      </c>
      <c r="F62" t="s">
        <v>167</v>
      </c>
      <c r="G62">
        <v>-3900</v>
      </c>
      <c r="H62" t="s">
        <v>156</v>
      </c>
      <c r="I62" t="s">
        <v>168</v>
      </c>
    </row>
    <row r="63" spans="1:9">
      <c r="A63" s="41">
        <v>45783</v>
      </c>
      <c r="B63" s="42">
        <v>0.28056712962962971</v>
      </c>
      <c r="C63" t="s">
        <v>155</v>
      </c>
      <c r="D63" t="s">
        <v>35</v>
      </c>
      <c r="E63" t="s">
        <v>169</v>
      </c>
      <c r="F63" t="s">
        <v>170</v>
      </c>
      <c r="G63">
        <v>-990</v>
      </c>
      <c r="H63" t="s">
        <v>156</v>
      </c>
      <c r="I63" t="s">
        <v>168</v>
      </c>
    </row>
    <row r="64" spans="1:9">
      <c r="A64" s="41">
        <v>45782</v>
      </c>
      <c r="B64" s="42">
        <v>0.77574074074074073</v>
      </c>
      <c r="C64" t="s">
        <v>155</v>
      </c>
      <c r="D64" t="s">
        <v>42</v>
      </c>
      <c r="E64" t="s">
        <v>166</v>
      </c>
      <c r="F64" t="s">
        <v>167</v>
      </c>
      <c r="G64">
        <v>-11600</v>
      </c>
      <c r="H64" t="s">
        <v>156</v>
      </c>
      <c r="I64" t="s">
        <v>168</v>
      </c>
    </row>
    <row r="65" spans="1:9">
      <c r="A65" s="41">
        <v>45781</v>
      </c>
      <c r="B65" s="42">
        <v>0.70982638888888894</v>
      </c>
      <c r="C65" t="s">
        <v>155</v>
      </c>
      <c r="D65" t="s">
        <v>42</v>
      </c>
      <c r="E65" t="s">
        <v>171</v>
      </c>
      <c r="F65" t="s">
        <v>172</v>
      </c>
      <c r="G65">
        <v>-3300</v>
      </c>
      <c r="H65" t="s">
        <v>156</v>
      </c>
      <c r="I65" t="s">
        <v>168</v>
      </c>
    </row>
    <row r="66" spans="1:9">
      <c r="A66" s="41">
        <v>45778</v>
      </c>
      <c r="B66" s="42">
        <v>0.62589120370370366</v>
      </c>
      <c r="C66" t="s">
        <v>155</v>
      </c>
      <c r="D66" t="s">
        <v>42</v>
      </c>
      <c r="E66" t="s">
        <v>166</v>
      </c>
      <c r="F66" t="s">
        <v>167</v>
      </c>
      <c r="G66">
        <v>-9000</v>
      </c>
      <c r="H66" t="s">
        <v>156</v>
      </c>
      <c r="I66" t="s">
        <v>168</v>
      </c>
    </row>
    <row r="67" spans="1:9">
      <c r="A67" s="41">
        <v>45772</v>
      </c>
      <c r="B67" s="42">
        <v>0.97008101851851847</v>
      </c>
      <c r="C67" t="s">
        <v>155</v>
      </c>
      <c r="D67" t="s">
        <v>42</v>
      </c>
      <c r="E67" t="s">
        <v>171</v>
      </c>
      <c r="F67" t="s">
        <v>172</v>
      </c>
      <c r="G67">
        <v>-13000</v>
      </c>
      <c r="H67" t="s">
        <v>156</v>
      </c>
      <c r="I67" t="s">
        <v>168</v>
      </c>
    </row>
    <row r="68" spans="1:9">
      <c r="A68" s="41">
        <v>45767</v>
      </c>
      <c r="B68" s="42">
        <v>0.57597222222222222</v>
      </c>
      <c r="C68" t="s">
        <v>155</v>
      </c>
      <c r="D68" t="s">
        <v>42</v>
      </c>
      <c r="E68" t="s">
        <v>171</v>
      </c>
      <c r="F68" t="s">
        <v>172</v>
      </c>
      <c r="G68">
        <v>-6500</v>
      </c>
      <c r="H68" t="s">
        <v>156</v>
      </c>
      <c r="I68" t="s">
        <v>168</v>
      </c>
    </row>
    <row r="69" spans="1:9">
      <c r="A69" s="41">
        <v>45767</v>
      </c>
      <c r="B69" s="42">
        <v>0.1378240740740741</v>
      </c>
      <c r="C69" t="s">
        <v>155</v>
      </c>
      <c r="D69" t="s">
        <v>35</v>
      </c>
      <c r="E69" t="s">
        <v>180</v>
      </c>
      <c r="F69" t="s">
        <v>186</v>
      </c>
      <c r="G69">
        <v>-50000</v>
      </c>
      <c r="H69" t="s">
        <v>156</v>
      </c>
      <c r="I69" t="s">
        <v>168</v>
      </c>
    </row>
    <row r="70" spans="1:9">
      <c r="A70" s="41">
        <v>45762</v>
      </c>
      <c r="B70" s="42">
        <v>0.99824074074074076</v>
      </c>
      <c r="C70" t="s">
        <v>155</v>
      </c>
      <c r="D70" t="s">
        <v>42</v>
      </c>
      <c r="E70" t="s">
        <v>166</v>
      </c>
      <c r="F70" t="s">
        <v>167</v>
      </c>
      <c r="G70">
        <v>-9000</v>
      </c>
      <c r="H70" t="s">
        <v>156</v>
      </c>
      <c r="I70" t="s">
        <v>168</v>
      </c>
    </row>
    <row r="71" spans="1:9">
      <c r="A71" s="41">
        <v>45761</v>
      </c>
      <c r="B71" s="42">
        <v>0.27108796296296289</v>
      </c>
      <c r="C71" t="s">
        <v>155</v>
      </c>
      <c r="D71" t="s">
        <v>33</v>
      </c>
      <c r="E71" t="s">
        <v>178</v>
      </c>
      <c r="F71" t="s">
        <v>179</v>
      </c>
      <c r="G71">
        <v>-23100</v>
      </c>
      <c r="H71" t="s">
        <v>156</v>
      </c>
      <c r="I71" t="s">
        <v>168</v>
      </c>
    </row>
    <row r="72" spans="1:9">
      <c r="A72" s="41">
        <v>45761</v>
      </c>
      <c r="B72" s="42">
        <v>0.24003472222222219</v>
      </c>
      <c r="C72" t="s">
        <v>155</v>
      </c>
      <c r="D72" t="s">
        <v>33</v>
      </c>
      <c r="E72" t="s">
        <v>178</v>
      </c>
      <c r="F72" t="s">
        <v>179</v>
      </c>
      <c r="G72">
        <v>22700</v>
      </c>
      <c r="H72" t="s">
        <v>156</v>
      </c>
      <c r="I72" t="s">
        <v>168</v>
      </c>
    </row>
    <row r="73" spans="1:9">
      <c r="A73" s="41">
        <v>45761</v>
      </c>
      <c r="B73" s="42">
        <v>0.24002314814814821</v>
      </c>
      <c r="C73" t="s">
        <v>155</v>
      </c>
      <c r="D73" t="s">
        <v>33</v>
      </c>
      <c r="E73" t="s">
        <v>178</v>
      </c>
      <c r="F73" t="s">
        <v>179</v>
      </c>
      <c r="G73">
        <v>-22700</v>
      </c>
      <c r="H73" t="s">
        <v>156</v>
      </c>
      <c r="I73" t="s">
        <v>168</v>
      </c>
    </row>
    <row r="74" spans="1:9">
      <c r="A74" s="41">
        <v>45760</v>
      </c>
      <c r="B74" s="42">
        <v>0.70237268518518514</v>
      </c>
      <c r="C74" t="s">
        <v>155</v>
      </c>
      <c r="D74" t="s">
        <v>33</v>
      </c>
      <c r="E74" t="s">
        <v>178</v>
      </c>
      <c r="F74" t="s">
        <v>179</v>
      </c>
      <c r="G74">
        <v>-5200</v>
      </c>
      <c r="H74" t="s">
        <v>156</v>
      </c>
      <c r="I74" t="s">
        <v>168</v>
      </c>
    </row>
    <row r="75" spans="1:9">
      <c r="A75" s="41">
        <v>45760</v>
      </c>
      <c r="B75" s="42">
        <v>0.69723379629629634</v>
      </c>
      <c r="C75" t="s">
        <v>155</v>
      </c>
      <c r="D75" t="s">
        <v>33</v>
      </c>
      <c r="E75" t="s">
        <v>178</v>
      </c>
      <c r="F75" t="s">
        <v>179</v>
      </c>
      <c r="G75">
        <v>6100</v>
      </c>
      <c r="H75" t="s">
        <v>156</v>
      </c>
      <c r="I75" t="s">
        <v>168</v>
      </c>
    </row>
    <row r="76" spans="1:9">
      <c r="A76" s="41">
        <v>45760</v>
      </c>
      <c r="B76" s="42">
        <v>0.69722222222222219</v>
      </c>
      <c r="C76" t="s">
        <v>155</v>
      </c>
      <c r="D76" t="s">
        <v>33</v>
      </c>
      <c r="E76" t="s">
        <v>178</v>
      </c>
      <c r="F76" t="s">
        <v>179</v>
      </c>
      <c r="G76">
        <v>-6100</v>
      </c>
      <c r="H76" t="s">
        <v>156</v>
      </c>
      <c r="I76" t="s">
        <v>168</v>
      </c>
    </row>
    <row r="77" spans="1:9">
      <c r="A77" s="41">
        <v>45759</v>
      </c>
      <c r="B77" s="42">
        <v>0.33369212962962957</v>
      </c>
      <c r="C77" t="s">
        <v>155</v>
      </c>
      <c r="D77" t="s">
        <v>42</v>
      </c>
      <c r="E77" t="s">
        <v>171</v>
      </c>
      <c r="F77" t="s">
        <v>172</v>
      </c>
      <c r="G77">
        <v>-19500</v>
      </c>
      <c r="H77" t="s">
        <v>156</v>
      </c>
      <c r="I77" t="s">
        <v>168</v>
      </c>
    </row>
    <row r="78" spans="1:9">
      <c r="A78" s="41">
        <v>45754</v>
      </c>
      <c r="B78" s="42">
        <v>0.38740740740740742</v>
      </c>
      <c r="C78" t="s">
        <v>155</v>
      </c>
      <c r="D78" t="s">
        <v>42</v>
      </c>
      <c r="E78" t="s">
        <v>166</v>
      </c>
      <c r="F78" t="s">
        <v>167</v>
      </c>
      <c r="G78">
        <v>-990</v>
      </c>
      <c r="H78" t="s">
        <v>156</v>
      </c>
      <c r="I78" t="s">
        <v>168</v>
      </c>
    </row>
    <row r="79" spans="1:9">
      <c r="A79" s="41">
        <v>45754</v>
      </c>
      <c r="B79" s="42">
        <v>0.38739583333333327</v>
      </c>
      <c r="C79" t="s">
        <v>155</v>
      </c>
      <c r="D79" t="s">
        <v>42</v>
      </c>
      <c r="E79" t="s">
        <v>166</v>
      </c>
      <c r="F79" t="s">
        <v>167</v>
      </c>
      <c r="G79">
        <v>-3900</v>
      </c>
      <c r="H79" t="s">
        <v>156</v>
      </c>
      <c r="I79" t="s">
        <v>168</v>
      </c>
    </row>
    <row r="80" spans="1:9">
      <c r="A80" s="41">
        <v>45753</v>
      </c>
      <c r="B80" s="42">
        <v>0.28056712962962971</v>
      </c>
      <c r="C80" t="s">
        <v>155</v>
      </c>
      <c r="D80" t="s">
        <v>35</v>
      </c>
      <c r="E80" t="s">
        <v>169</v>
      </c>
      <c r="F80" t="s">
        <v>170</v>
      </c>
      <c r="G80">
        <v>-990</v>
      </c>
      <c r="H80" t="s">
        <v>156</v>
      </c>
      <c r="I80" t="s">
        <v>168</v>
      </c>
    </row>
    <row r="81" spans="1:9">
      <c r="A81" s="41">
        <v>45751</v>
      </c>
      <c r="B81" s="42">
        <v>0.98879629629629628</v>
      </c>
      <c r="C81" t="s">
        <v>155</v>
      </c>
      <c r="D81" t="s">
        <v>42</v>
      </c>
      <c r="E81" t="s">
        <v>166</v>
      </c>
      <c r="F81" t="s">
        <v>167</v>
      </c>
      <c r="G81">
        <v>-9000</v>
      </c>
      <c r="H81" t="s">
        <v>156</v>
      </c>
      <c r="I81" t="s">
        <v>168</v>
      </c>
    </row>
    <row r="82" spans="1:9">
      <c r="A82" s="41">
        <v>45750</v>
      </c>
      <c r="B82" s="42">
        <v>0.97143518518518523</v>
      </c>
      <c r="C82" t="s">
        <v>155</v>
      </c>
      <c r="D82" t="s">
        <v>42</v>
      </c>
      <c r="E82" t="s">
        <v>166</v>
      </c>
      <c r="F82" t="s">
        <v>167</v>
      </c>
      <c r="G82">
        <v>-9000</v>
      </c>
      <c r="H82" t="s">
        <v>156</v>
      </c>
      <c r="I82" t="s">
        <v>168</v>
      </c>
    </row>
    <row r="83" spans="1:9">
      <c r="A83" s="41">
        <v>45749</v>
      </c>
      <c r="B83" s="42">
        <v>0.99520833333333336</v>
      </c>
      <c r="C83" t="s">
        <v>155</v>
      </c>
      <c r="D83" t="s">
        <v>42</v>
      </c>
      <c r="E83" t="s">
        <v>166</v>
      </c>
      <c r="F83" t="s">
        <v>167</v>
      </c>
      <c r="G83">
        <v>-9000</v>
      </c>
      <c r="H83" t="s">
        <v>156</v>
      </c>
      <c r="I83" t="s">
        <v>168</v>
      </c>
    </row>
    <row r="84" spans="1:9">
      <c r="A84" s="41">
        <v>45747</v>
      </c>
      <c r="B84" s="42">
        <v>0.97494212962962967</v>
      </c>
      <c r="C84" t="s">
        <v>155</v>
      </c>
      <c r="D84" t="s">
        <v>42</v>
      </c>
      <c r="E84" t="s">
        <v>166</v>
      </c>
      <c r="F84" t="s">
        <v>167</v>
      </c>
      <c r="G84">
        <v>-9000</v>
      </c>
      <c r="H84" t="s">
        <v>156</v>
      </c>
      <c r="I84" t="s">
        <v>168</v>
      </c>
    </row>
    <row r="85" spans="1:9">
      <c r="A85" s="41">
        <v>45745</v>
      </c>
      <c r="B85" s="42">
        <v>0.60620370370370369</v>
      </c>
      <c r="C85" t="s">
        <v>155</v>
      </c>
      <c r="D85" t="s">
        <v>35</v>
      </c>
      <c r="E85" t="s">
        <v>180</v>
      </c>
      <c r="F85" t="s">
        <v>170</v>
      </c>
      <c r="G85">
        <v>-5600</v>
      </c>
      <c r="H85" t="s">
        <v>156</v>
      </c>
      <c r="I85" t="s">
        <v>168</v>
      </c>
    </row>
    <row r="86" spans="1:9">
      <c r="A86" s="41">
        <v>45745</v>
      </c>
      <c r="B86" s="42">
        <v>0.12442129629629629</v>
      </c>
      <c r="C86" t="s">
        <v>155</v>
      </c>
      <c r="D86" t="s">
        <v>33</v>
      </c>
      <c r="E86" t="s">
        <v>178</v>
      </c>
      <c r="F86" t="s">
        <v>179</v>
      </c>
      <c r="G86">
        <v>-23200</v>
      </c>
      <c r="H86" t="s">
        <v>156</v>
      </c>
      <c r="I86" t="s">
        <v>168</v>
      </c>
    </row>
    <row r="87" spans="1:9">
      <c r="A87" s="41">
        <v>45745</v>
      </c>
      <c r="B87" s="42">
        <v>9.9675925925925932E-2</v>
      </c>
      <c r="C87" t="s">
        <v>155</v>
      </c>
      <c r="D87" t="s">
        <v>33</v>
      </c>
      <c r="E87" t="s">
        <v>178</v>
      </c>
      <c r="F87" t="s">
        <v>179</v>
      </c>
      <c r="G87">
        <v>22700</v>
      </c>
      <c r="H87" t="s">
        <v>156</v>
      </c>
      <c r="I87" t="s">
        <v>168</v>
      </c>
    </row>
    <row r="88" spans="1:9">
      <c r="A88" s="41">
        <v>45745</v>
      </c>
      <c r="B88" s="42">
        <v>9.9675925925925932E-2</v>
      </c>
      <c r="C88" t="s">
        <v>155</v>
      </c>
      <c r="D88" t="s">
        <v>33</v>
      </c>
      <c r="E88" t="s">
        <v>178</v>
      </c>
      <c r="F88" t="s">
        <v>179</v>
      </c>
      <c r="G88">
        <v>-22700</v>
      </c>
      <c r="H88" t="s">
        <v>156</v>
      </c>
      <c r="I88" t="s">
        <v>168</v>
      </c>
    </row>
    <row r="89" spans="1:9">
      <c r="A89" s="41">
        <v>45744</v>
      </c>
      <c r="B89" s="42">
        <v>0.61892361111111116</v>
      </c>
      <c r="C89" t="s">
        <v>155</v>
      </c>
      <c r="D89" t="s">
        <v>33</v>
      </c>
      <c r="E89" t="s">
        <v>178</v>
      </c>
      <c r="F89" t="s">
        <v>179</v>
      </c>
      <c r="G89">
        <v>-7100</v>
      </c>
      <c r="H89" t="s">
        <v>156</v>
      </c>
      <c r="I89" t="s">
        <v>168</v>
      </c>
    </row>
    <row r="90" spans="1:9">
      <c r="A90" s="41">
        <v>45744</v>
      </c>
      <c r="B90" s="42">
        <v>0.60894675925925923</v>
      </c>
      <c r="C90" t="s">
        <v>155</v>
      </c>
      <c r="D90" t="s">
        <v>33</v>
      </c>
      <c r="E90" t="s">
        <v>178</v>
      </c>
      <c r="F90" t="s">
        <v>179</v>
      </c>
      <c r="G90">
        <v>8000</v>
      </c>
      <c r="H90" t="s">
        <v>156</v>
      </c>
      <c r="I90" t="s">
        <v>168</v>
      </c>
    </row>
    <row r="91" spans="1:9">
      <c r="A91" s="41">
        <v>45744</v>
      </c>
      <c r="B91" s="42">
        <v>0.60893518518518519</v>
      </c>
      <c r="C91" t="s">
        <v>155</v>
      </c>
      <c r="D91" t="s">
        <v>33</v>
      </c>
      <c r="E91" t="s">
        <v>178</v>
      </c>
      <c r="F91" t="s">
        <v>179</v>
      </c>
      <c r="G91">
        <v>-8000</v>
      </c>
      <c r="H91" t="s">
        <v>156</v>
      </c>
      <c r="I91" t="s">
        <v>168</v>
      </c>
    </row>
    <row r="92" spans="1:9">
      <c r="A92" s="41">
        <v>45744</v>
      </c>
      <c r="B92" s="42">
        <v>0.40709490740740739</v>
      </c>
      <c r="C92" t="s">
        <v>155</v>
      </c>
      <c r="D92" t="s">
        <v>33</v>
      </c>
      <c r="E92" t="s">
        <v>178</v>
      </c>
      <c r="F92" t="s">
        <v>179</v>
      </c>
      <c r="G92">
        <v>-5900</v>
      </c>
      <c r="H92" t="s">
        <v>156</v>
      </c>
      <c r="I92" t="s">
        <v>168</v>
      </c>
    </row>
    <row r="93" spans="1:9">
      <c r="A93" s="41">
        <v>45744</v>
      </c>
      <c r="B93" s="42">
        <v>0.39899305555555548</v>
      </c>
      <c r="C93" t="s">
        <v>155</v>
      </c>
      <c r="D93" t="s">
        <v>33</v>
      </c>
      <c r="E93" t="s">
        <v>178</v>
      </c>
      <c r="F93" t="s">
        <v>179</v>
      </c>
      <c r="G93">
        <v>5900</v>
      </c>
      <c r="H93" t="s">
        <v>156</v>
      </c>
      <c r="I93" t="s">
        <v>168</v>
      </c>
    </row>
    <row r="94" spans="1:9">
      <c r="A94" s="41">
        <v>45744</v>
      </c>
      <c r="B94" s="42">
        <v>0.39899305555555548</v>
      </c>
      <c r="C94" t="s">
        <v>155</v>
      </c>
      <c r="D94" t="s">
        <v>33</v>
      </c>
      <c r="E94" t="s">
        <v>178</v>
      </c>
      <c r="F94" t="s">
        <v>179</v>
      </c>
      <c r="G94">
        <v>-5900</v>
      </c>
      <c r="H94" t="s">
        <v>156</v>
      </c>
      <c r="I94" t="s">
        <v>168</v>
      </c>
    </row>
    <row r="95" spans="1:9">
      <c r="A95" s="41">
        <v>45744</v>
      </c>
      <c r="B95" s="42">
        <v>0.39505787037037038</v>
      </c>
      <c r="C95" t="s">
        <v>155</v>
      </c>
      <c r="D95" t="s">
        <v>33</v>
      </c>
      <c r="E95" t="s">
        <v>178</v>
      </c>
      <c r="F95" t="s">
        <v>179</v>
      </c>
      <c r="G95">
        <v>-4800</v>
      </c>
      <c r="H95" t="s">
        <v>156</v>
      </c>
      <c r="I95" t="s">
        <v>168</v>
      </c>
    </row>
    <row r="96" spans="1:9">
      <c r="A96" s="41">
        <v>45744</v>
      </c>
      <c r="B96" s="42">
        <v>0.38762731481481483</v>
      </c>
      <c r="C96" t="s">
        <v>155</v>
      </c>
      <c r="D96" t="s">
        <v>33</v>
      </c>
      <c r="E96" t="s">
        <v>178</v>
      </c>
      <c r="F96" t="s">
        <v>179</v>
      </c>
      <c r="G96">
        <v>4900</v>
      </c>
      <c r="H96" t="s">
        <v>156</v>
      </c>
      <c r="I96" t="s">
        <v>168</v>
      </c>
    </row>
    <row r="97" spans="1:9">
      <c r="A97" s="41">
        <v>45744</v>
      </c>
      <c r="B97" s="42">
        <v>0.38761574074074068</v>
      </c>
      <c r="C97" t="s">
        <v>155</v>
      </c>
      <c r="D97" t="s">
        <v>33</v>
      </c>
      <c r="E97" t="s">
        <v>178</v>
      </c>
      <c r="F97" t="s">
        <v>179</v>
      </c>
      <c r="G97">
        <v>-4900</v>
      </c>
      <c r="H97" t="s">
        <v>156</v>
      </c>
      <c r="I97" t="s">
        <v>168</v>
      </c>
    </row>
    <row r="98" spans="1:9">
      <c r="A98" s="41">
        <v>45743</v>
      </c>
      <c r="B98" s="42">
        <v>0.32798611111111109</v>
      </c>
      <c r="C98" t="s">
        <v>155</v>
      </c>
      <c r="D98" t="s">
        <v>35</v>
      </c>
      <c r="E98" t="s">
        <v>180</v>
      </c>
      <c r="F98" t="s">
        <v>187</v>
      </c>
      <c r="G98">
        <v>-36000</v>
      </c>
      <c r="H98" t="s">
        <v>156</v>
      </c>
      <c r="I98" t="s">
        <v>168</v>
      </c>
    </row>
    <row r="99" spans="1:9">
      <c r="A99" s="41">
        <v>45742</v>
      </c>
      <c r="B99" s="42">
        <v>0.41368055555555561</v>
      </c>
      <c r="C99" t="s">
        <v>155</v>
      </c>
      <c r="D99" t="s">
        <v>33</v>
      </c>
      <c r="E99" t="s">
        <v>178</v>
      </c>
      <c r="F99" t="s">
        <v>179</v>
      </c>
      <c r="G99">
        <v>-7400</v>
      </c>
      <c r="H99" t="s">
        <v>156</v>
      </c>
      <c r="I99" t="s">
        <v>168</v>
      </c>
    </row>
    <row r="100" spans="1:9">
      <c r="A100" s="41">
        <v>45742</v>
      </c>
      <c r="B100" s="42">
        <v>0.40358796296296301</v>
      </c>
      <c r="C100" t="s">
        <v>155</v>
      </c>
      <c r="D100" t="s">
        <v>33</v>
      </c>
      <c r="E100" t="s">
        <v>178</v>
      </c>
      <c r="F100" t="s">
        <v>179</v>
      </c>
      <c r="G100">
        <v>8100</v>
      </c>
      <c r="H100" t="s">
        <v>156</v>
      </c>
      <c r="I100" t="s">
        <v>168</v>
      </c>
    </row>
    <row r="101" spans="1:9">
      <c r="A101" s="41">
        <v>45742</v>
      </c>
      <c r="B101" s="42">
        <v>0.40357638888888892</v>
      </c>
      <c r="C101" t="s">
        <v>155</v>
      </c>
      <c r="D101" t="s">
        <v>33</v>
      </c>
      <c r="E101" t="s">
        <v>178</v>
      </c>
      <c r="F101" t="s">
        <v>179</v>
      </c>
      <c r="G101">
        <v>-8100</v>
      </c>
      <c r="H101" t="s">
        <v>156</v>
      </c>
      <c r="I101" t="s">
        <v>168</v>
      </c>
    </row>
    <row r="102" spans="1:9">
      <c r="A102" s="41">
        <v>45741</v>
      </c>
      <c r="B102" s="42">
        <v>0.97024305555555557</v>
      </c>
      <c r="C102" t="s">
        <v>155</v>
      </c>
      <c r="D102" t="s">
        <v>42</v>
      </c>
      <c r="E102" t="s">
        <v>171</v>
      </c>
      <c r="F102" t="s">
        <v>172</v>
      </c>
      <c r="G102">
        <v>-13000</v>
      </c>
      <c r="H102" t="s">
        <v>156</v>
      </c>
      <c r="I102" t="s">
        <v>168</v>
      </c>
    </row>
    <row r="103" spans="1:9">
      <c r="A103" s="41">
        <v>45736</v>
      </c>
      <c r="B103" s="42">
        <v>0.57628472222222227</v>
      </c>
      <c r="C103" t="s">
        <v>155</v>
      </c>
      <c r="D103" t="s">
        <v>42</v>
      </c>
      <c r="E103" t="s">
        <v>171</v>
      </c>
      <c r="F103" t="s">
        <v>172</v>
      </c>
      <c r="G103">
        <v>-6500</v>
      </c>
      <c r="H103" t="s">
        <v>156</v>
      </c>
      <c r="I103" t="s">
        <v>168</v>
      </c>
    </row>
    <row r="104" spans="1:9">
      <c r="A104" s="41">
        <v>45728</v>
      </c>
      <c r="B104" s="42">
        <v>0.33466435185185178</v>
      </c>
      <c r="C104" t="s">
        <v>155</v>
      </c>
      <c r="D104" t="s">
        <v>42</v>
      </c>
      <c r="E104" t="s">
        <v>171</v>
      </c>
      <c r="F104" t="s">
        <v>172</v>
      </c>
      <c r="G104">
        <v>-19500</v>
      </c>
      <c r="H104" t="s">
        <v>156</v>
      </c>
      <c r="I104" t="s">
        <v>168</v>
      </c>
    </row>
    <row r="105" spans="1:9">
      <c r="A105" s="41">
        <v>45724</v>
      </c>
      <c r="B105" s="42">
        <v>0.44131944444444438</v>
      </c>
      <c r="C105" t="s">
        <v>155</v>
      </c>
      <c r="D105" t="s">
        <v>44</v>
      </c>
      <c r="E105" t="s">
        <v>181</v>
      </c>
      <c r="F105" t="s">
        <v>182</v>
      </c>
      <c r="G105">
        <v>-800</v>
      </c>
      <c r="H105" t="s">
        <v>156</v>
      </c>
      <c r="I105" t="s">
        <v>168</v>
      </c>
    </row>
    <row r="106" spans="1:9">
      <c r="A106" s="41">
        <v>45723</v>
      </c>
      <c r="B106" s="42">
        <v>0.38686342592592587</v>
      </c>
      <c r="C106" t="s">
        <v>155</v>
      </c>
      <c r="D106" t="s">
        <v>42</v>
      </c>
      <c r="E106" t="s">
        <v>166</v>
      </c>
      <c r="F106" t="s">
        <v>167</v>
      </c>
      <c r="G106">
        <v>-990</v>
      </c>
      <c r="H106" t="s">
        <v>156</v>
      </c>
      <c r="I106" t="s">
        <v>168</v>
      </c>
    </row>
    <row r="107" spans="1:9">
      <c r="A107" s="41">
        <v>45723</v>
      </c>
      <c r="B107" s="42">
        <v>0.38685185185185178</v>
      </c>
      <c r="C107" t="s">
        <v>155</v>
      </c>
      <c r="D107" t="s">
        <v>42</v>
      </c>
      <c r="E107" t="s">
        <v>166</v>
      </c>
      <c r="F107" t="s">
        <v>167</v>
      </c>
      <c r="G107">
        <v>-3900</v>
      </c>
      <c r="H107" t="s">
        <v>156</v>
      </c>
      <c r="I107" t="s">
        <v>168</v>
      </c>
    </row>
    <row r="108" spans="1:9">
      <c r="A108" s="41">
        <v>45722</v>
      </c>
      <c r="B108" s="42">
        <v>0.28056712962962971</v>
      </c>
      <c r="C108" t="s">
        <v>155</v>
      </c>
      <c r="D108" t="s">
        <v>35</v>
      </c>
      <c r="E108" t="s">
        <v>169</v>
      </c>
      <c r="F108" t="s">
        <v>170</v>
      </c>
      <c r="G108">
        <v>-990</v>
      </c>
      <c r="H108" t="s">
        <v>156</v>
      </c>
      <c r="I108" t="s">
        <v>168</v>
      </c>
    </row>
    <row r="109" spans="1:9">
      <c r="A109" s="41">
        <v>45714</v>
      </c>
      <c r="B109" s="42">
        <v>1.2060185185185189E-2</v>
      </c>
      <c r="C109" t="s">
        <v>155</v>
      </c>
      <c r="D109" t="s">
        <v>42</v>
      </c>
      <c r="E109" t="s">
        <v>171</v>
      </c>
      <c r="F109" t="s">
        <v>172</v>
      </c>
      <c r="G109">
        <v>-13000</v>
      </c>
      <c r="H109" t="s">
        <v>156</v>
      </c>
      <c r="I109" t="s">
        <v>168</v>
      </c>
    </row>
    <row r="110" spans="1:9">
      <c r="A110" s="41">
        <v>45713</v>
      </c>
      <c r="B110" s="42">
        <v>0.45222222222222219</v>
      </c>
      <c r="C110" t="s">
        <v>155</v>
      </c>
      <c r="D110" t="s">
        <v>42</v>
      </c>
      <c r="E110" t="s">
        <v>177</v>
      </c>
      <c r="F110" t="s">
        <v>170</v>
      </c>
      <c r="G110">
        <v>-86500</v>
      </c>
      <c r="H110" t="s">
        <v>156</v>
      </c>
      <c r="I110" t="s">
        <v>168</v>
      </c>
    </row>
    <row r="111" spans="1:9">
      <c r="A111" s="41">
        <v>45712</v>
      </c>
      <c r="B111" s="42">
        <v>0.99886574074074075</v>
      </c>
      <c r="C111" t="s">
        <v>155</v>
      </c>
      <c r="D111" t="s">
        <v>38</v>
      </c>
      <c r="E111" t="s">
        <v>188</v>
      </c>
      <c r="F111" t="s">
        <v>189</v>
      </c>
      <c r="G111">
        <v>-10350</v>
      </c>
      <c r="H111" t="s">
        <v>156</v>
      </c>
      <c r="I111" t="s">
        <v>168</v>
      </c>
    </row>
    <row r="112" spans="1:9">
      <c r="A112" s="41">
        <v>45708</v>
      </c>
      <c r="B112" s="42">
        <v>0.61820601851851853</v>
      </c>
      <c r="C112" t="s">
        <v>155</v>
      </c>
      <c r="D112" t="s">
        <v>42</v>
      </c>
      <c r="E112" t="s">
        <v>171</v>
      </c>
      <c r="F112" t="s">
        <v>172</v>
      </c>
      <c r="G112">
        <v>-6500</v>
      </c>
      <c r="H112" t="s">
        <v>156</v>
      </c>
      <c r="I112" t="s">
        <v>168</v>
      </c>
    </row>
    <row r="113" spans="1:9">
      <c r="A113" s="41">
        <v>45705</v>
      </c>
      <c r="B113" s="42">
        <v>0.97210648148148149</v>
      </c>
      <c r="C113" t="s">
        <v>155</v>
      </c>
      <c r="D113" t="s">
        <v>42</v>
      </c>
      <c r="E113" t="s">
        <v>166</v>
      </c>
      <c r="F113" t="s">
        <v>167</v>
      </c>
      <c r="G113">
        <v>-9000</v>
      </c>
      <c r="H113" t="s">
        <v>156</v>
      </c>
      <c r="I113" t="s">
        <v>168</v>
      </c>
    </row>
    <row r="114" spans="1:9">
      <c r="A114" s="41">
        <v>45704</v>
      </c>
      <c r="B114" s="42">
        <v>4.6504629629629632E-2</v>
      </c>
      <c r="C114" t="s">
        <v>155</v>
      </c>
      <c r="D114" t="s">
        <v>33</v>
      </c>
      <c r="E114" t="s">
        <v>178</v>
      </c>
      <c r="F114" t="s">
        <v>179</v>
      </c>
      <c r="G114">
        <v>-33000</v>
      </c>
      <c r="H114" t="s">
        <v>156</v>
      </c>
      <c r="I114" t="s">
        <v>168</v>
      </c>
    </row>
    <row r="115" spans="1:9">
      <c r="A115" s="41">
        <v>45704</v>
      </c>
      <c r="B115" s="42">
        <v>2.599537037037037E-2</v>
      </c>
      <c r="C115" t="s">
        <v>155</v>
      </c>
      <c r="D115" t="s">
        <v>33</v>
      </c>
      <c r="E115" t="s">
        <v>178</v>
      </c>
      <c r="F115" t="s">
        <v>179</v>
      </c>
      <c r="G115">
        <v>27300</v>
      </c>
      <c r="H115" t="s">
        <v>156</v>
      </c>
      <c r="I115" t="s">
        <v>168</v>
      </c>
    </row>
    <row r="116" spans="1:9">
      <c r="A116" s="41">
        <v>45704</v>
      </c>
      <c r="B116" s="42">
        <v>2.599537037037037E-2</v>
      </c>
      <c r="C116" t="s">
        <v>155</v>
      </c>
      <c r="D116" t="s">
        <v>33</v>
      </c>
      <c r="E116" t="s">
        <v>178</v>
      </c>
      <c r="F116" t="s">
        <v>179</v>
      </c>
      <c r="G116">
        <v>-27300</v>
      </c>
      <c r="H116" t="s">
        <v>156</v>
      </c>
      <c r="I116" t="s">
        <v>168</v>
      </c>
    </row>
    <row r="117" spans="1:9">
      <c r="A117" s="41">
        <v>45702</v>
      </c>
      <c r="B117" s="42">
        <v>0.98737268518518517</v>
      </c>
      <c r="C117" t="s">
        <v>155</v>
      </c>
      <c r="D117" t="s">
        <v>42</v>
      </c>
      <c r="E117" t="s">
        <v>166</v>
      </c>
      <c r="F117" t="s">
        <v>167</v>
      </c>
      <c r="G117">
        <v>-9000</v>
      </c>
      <c r="H117" t="s">
        <v>156</v>
      </c>
      <c r="I117" t="s">
        <v>168</v>
      </c>
    </row>
    <row r="118" spans="1:9">
      <c r="A118" s="41">
        <v>45701</v>
      </c>
      <c r="B118" s="42">
        <v>0.99446759259259254</v>
      </c>
      <c r="C118" t="s">
        <v>155</v>
      </c>
      <c r="D118" t="s">
        <v>42</v>
      </c>
      <c r="E118" t="s">
        <v>166</v>
      </c>
      <c r="F118" t="s">
        <v>167</v>
      </c>
      <c r="G118">
        <v>-9000</v>
      </c>
      <c r="H118" t="s">
        <v>156</v>
      </c>
      <c r="I118" t="s">
        <v>168</v>
      </c>
    </row>
    <row r="119" spans="1:9">
      <c r="A119" s="41">
        <v>45701</v>
      </c>
      <c r="B119" s="42">
        <v>0.98114583333333338</v>
      </c>
      <c r="C119" t="s">
        <v>155</v>
      </c>
      <c r="D119" t="s">
        <v>42</v>
      </c>
      <c r="E119" t="s">
        <v>166</v>
      </c>
      <c r="F119" t="s">
        <v>167</v>
      </c>
      <c r="G119">
        <v>-116000</v>
      </c>
      <c r="H119" t="s">
        <v>156</v>
      </c>
      <c r="I119" t="s">
        <v>168</v>
      </c>
    </row>
    <row r="120" spans="1:9">
      <c r="A120" s="41">
        <v>45700</v>
      </c>
      <c r="B120" s="42">
        <v>0.9935532407407407</v>
      </c>
      <c r="C120" t="s">
        <v>155</v>
      </c>
      <c r="D120" t="s">
        <v>42</v>
      </c>
      <c r="E120" t="s">
        <v>166</v>
      </c>
      <c r="F120" t="s">
        <v>167</v>
      </c>
      <c r="G120">
        <v>-9000</v>
      </c>
      <c r="H120" t="s">
        <v>156</v>
      </c>
      <c r="I120" t="s">
        <v>168</v>
      </c>
    </row>
    <row r="121" spans="1:9">
      <c r="A121" s="41">
        <v>45700</v>
      </c>
      <c r="B121" s="42">
        <v>0.37510416666666668</v>
      </c>
      <c r="C121" t="s">
        <v>155</v>
      </c>
      <c r="D121" t="s">
        <v>42</v>
      </c>
      <c r="E121" t="s">
        <v>171</v>
      </c>
      <c r="F121" t="s">
        <v>172</v>
      </c>
      <c r="G121">
        <v>-19500</v>
      </c>
      <c r="H121" t="s">
        <v>156</v>
      </c>
      <c r="I121" t="s">
        <v>168</v>
      </c>
    </row>
    <row r="122" spans="1:9">
      <c r="A122" s="41">
        <v>45698</v>
      </c>
      <c r="B122" s="42">
        <v>0.97677083333333337</v>
      </c>
      <c r="C122" t="s">
        <v>155</v>
      </c>
      <c r="D122" t="s">
        <v>42</v>
      </c>
      <c r="E122" t="s">
        <v>166</v>
      </c>
      <c r="F122" t="s">
        <v>167</v>
      </c>
      <c r="G122">
        <v>-9000</v>
      </c>
      <c r="H122" t="s">
        <v>156</v>
      </c>
      <c r="I122" t="s">
        <v>168</v>
      </c>
    </row>
    <row r="123" spans="1:9">
      <c r="A123" s="41">
        <v>45695</v>
      </c>
      <c r="B123" s="42">
        <v>0.3868402777777778</v>
      </c>
      <c r="C123" t="s">
        <v>155</v>
      </c>
      <c r="D123" t="s">
        <v>42</v>
      </c>
      <c r="E123" t="s">
        <v>166</v>
      </c>
      <c r="F123" t="s">
        <v>167</v>
      </c>
      <c r="G123">
        <v>-990</v>
      </c>
      <c r="H123" t="s">
        <v>156</v>
      </c>
      <c r="I123" t="s">
        <v>168</v>
      </c>
    </row>
    <row r="124" spans="1:9">
      <c r="A124" s="41">
        <v>45695</v>
      </c>
      <c r="B124" s="42">
        <v>0.3868287037037037</v>
      </c>
      <c r="C124" t="s">
        <v>155</v>
      </c>
      <c r="D124" t="s">
        <v>42</v>
      </c>
      <c r="E124" t="s">
        <v>166</v>
      </c>
      <c r="F124" t="s">
        <v>167</v>
      </c>
      <c r="G124">
        <v>-3900</v>
      </c>
      <c r="H124" t="s">
        <v>156</v>
      </c>
      <c r="I124" t="s">
        <v>168</v>
      </c>
    </row>
    <row r="125" spans="1:9">
      <c r="A125" s="41">
        <v>45694</v>
      </c>
      <c r="B125" s="42">
        <v>0.87336805555555552</v>
      </c>
      <c r="C125" t="s">
        <v>155</v>
      </c>
      <c r="D125" t="s">
        <v>42</v>
      </c>
      <c r="E125" t="s">
        <v>177</v>
      </c>
      <c r="F125" t="s">
        <v>170</v>
      </c>
      <c r="G125">
        <v>-22800</v>
      </c>
      <c r="H125" t="s">
        <v>156</v>
      </c>
      <c r="I125" t="s">
        <v>168</v>
      </c>
    </row>
    <row r="126" spans="1:9">
      <c r="A126" s="41">
        <v>45694</v>
      </c>
      <c r="B126" s="42">
        <v>0.66422453703703699</v>
      </c>
      <c r="C126" t="s">
        <v>155</v>
      </c>
      <c r="D126" t="s">
        <v>42</v>
      </c>
      <c r="E126" t="s">
        <v>166</v>
      </c>
      <c r="F126" t="s">
        <v>167</v>
      </c>
      <c r="G126">
        <v>-36000</v>
      </c>
      <c r="H126" t="s">
        <v>156</v>
      </c>
      <c r="I126" t="s">
        <v>168</v>
      </c>
    </row>
    <row r="127" spans="1:9">
      <c r="A127" s="41">
        <v>45694</v>
      </c>
      <c r="B127" s="42">
        <v>0.28056712962962971</v>
      </c>
      <c r="C127" t="s">
        <v>155</v>
      </c>
      <c r="D127" t="s">
        <v>35</v>
      </c>
      <c r="E127" t="s">
        <v>169</v>
      </c>
      <c r="F127" t="s">
        <v>170</v>
      </c>
      <c r="G127">
        <v>-990</v>
      </c>
      <c r="H127" t="s">
        <v>156</v>
      </c>
      <c r="I127" t="s">
        <v>168</v>
      </c>
    </row>
    <row r="128" spans="1:9">
      <c r="A128" s="41">
        <v>45693</v>
      </c>
      <c r="B128" s="42">
        <v>0.98490740740740745</v>
      </c>
      <c r="C128" t="s">
        <v>155</v>
      </c>
      <c r="D128" t="s">
        <v>42</v>
      </c>
      <c r="E128" t="s">
        <v>177</v>
      </c>
      <c r="F128" t="s">
        <v>170</v>
      </c>
      <c r="G128">
        <v>-20850</v>
      </c>
      <c r="H128" t="s">
        <v>156</v>
      </c>
      <c r="I128" t="s">
        <v>168</v>
      </c>
    </row>
    <row r="129" spans="1:9">
      <c r="A129" s="41">
        <v>45685</v>
      </c>
      <c r="B129" s="42">
        <v>7.6736111111111111E-3</v>
      </c>
      <c r="C129" t="s">
        <v>155</v>
      </c>
      <c r="D129" t="s">
        <v>33</v>
      </c>
      <c r="E129" t="s">
        <v>178</v>
      </c>
      <c r="F129" t="s">
        <v>179</v>
      </c>
      <c r="G129">
        <v>-13000</v>
      </c>
      <c r="H129" t="s">
        <v>156</v>
      </c>
      <c r="I129" t="s">
        <v>168</v>
      </c>
    </row>
    <row r="130" spans="1:9">
      <c r="A130" s="41">
        <v>45684</v>
      </c>
      <c r="B130" s="42">
        <v>0.99674768518518519</v>
      </c>
      <c r="C130" t="s">
        <v>155</v>
      </c>
      <c r="D130" t="s">
        <v>33</v>
      </c>
      <c r="E130" t="s">
        <v>178</v>
      </c>
      <c r="F130" t="s">
        <v>179</v>
      </c>
      <c r="G130">
        <v>13700</v>
      </c>
      <c r="H130" t="s">
        <v>156</v>
      </c>
      <c r="I130" t="s">
        <v>168</v>
      </c>
    </row>
    <row r="131" spans="1:9">
      <c r="A131" s="41">
        <v>45684</v>
      </c>
      <c r="B131" s="42">
        <v>0.99673611111111116</v>
      </c>
      <c r="C131" t="s">
        <v>155</v>
      </c>
      <c r="D131" t="s">
        <v>33</v>
      </c>
      <c r="E131" t="s">
        <v>178</v>
      </c>
      <c r="F131" t="s">
        <v>179</v>
      </c>
      <c r="G131">
        <v>-13700</v>
      </c>
      <c r="H131" t="s">
        <v>156</v>
      </c>
      <c r="I131" t="s">
        <v>168</v>
      </c>
    </row>
    <row r="132" spans="1:9">
      <c r="A132" s="41">
        <v>45684</v>
      </c>
      <c r="B132" s="42">
        <v>0.76313657407407409</v>
      </c>
      <c r="C132" t="s">
        <v>155</v>
      </c>
      <c r="D132" t="s">
        <v>33</v>
      </c>
      <c r="E132" t="s">
        <v>178</v>
      </c>
      <c r="F132" t="s">
        <v>179</v>
      </c>
      <c r="G132">
        <v>-8800</v>
      </c>
      <c r="H132" t="s">
        <v>156</v>
      </c>
      <c r="I132" t="s">
        <v>168</v>
      </c>
    </row>
    <row r="133" spans="1:9">
      <c r="A133" s="41">
        <v>45684</v>
      </c>
      <c r="B133" s="42">
        <v>0.75167824074074074</v>
      </c>
      <c r="C133" t="s">
        <v>155</v>
      </c>
      <c r="D133" t="s">
        <v>33</v>
      </c>
      <c r="E133" t="s">
        <v>178</v>
      </c>
      <c r="F133" t="s">
        <v>179</v>
      </c>
      <c r="G133">
        <v>9400</v>
      </c>
      <c r="H133" t="s">
        <v>156</v>
      </c>
      <c r="I133" t="s">
        <v>168</v>
      </c>
    </row>
    <row r="134" spans="1:9">
      <c r="A134" s="41">
        <v>45684</v>
      </c>
      <c r="B134" s="42">
        <v>0.75167824074074074</v>
      </c>
      <c r="C134" t="s">
        <v>155</v>
      </c>
      <c r="D134" t="s">
        <v>33</v>
      </c>
      <c r="E134" t="s">
        <v>178</v>
      </c>
      <c r="F134" t="s">
        <v>179</v>
      </c>
      <c r="G134">
        <v>-9400</v>
      </c>
      <c r="H134" t="s">
        <v>156</v>
      </c>
      <c r="I134" t="s">
        <v>168</v>
      </c>
    </row>
    <row r="135" spans="1:9">
      <c r="A135" s="41">
        <v>45683</v>
      </c>
      <c r="B135" s="42">
        <v>1.1666666666666671E-2</v>
      </c>
      <c r="C135" t="s">
        <v>155</v>
      </c>
      <c r="D135" t="s">
        <v>42</v>
      </c>
      <c r="E135" t="s">
        <v>171</v>
      </c>
      <c r="F135" t="s">
        <v>172</v>
      </c>
      <c r="G135">
        <v>-13000</v>
      </c>
      <c r="H135" t="s">
        <v>156</v>
      </c>
      <c r="I135" t="s">
        <v>168</v>
      </c>
    </row>
    <row r="136" spans="1:9">
      <c r="A136" s="41">
        <v>45679</v>
      </c>
      <c r="B136" s="42">
        <v>0.66182870370370372</v>
      </c>
      <c r="C136" t="s">
        <v>155</v>
      </c>
      <c r="D136" t="s">
        <v>42</v>
      </c>
      <c r="E136" t="s">
        <v>166</v>
      </c>
      <c r="F136" t="s">
        <v>167</v>
      </c>
      <c r="G136">
        <v>-9000</v>
      </c>
      <c r="H136" t="s">
        <v>156</v>
      </c>
      <c r="I136" t="s">
        <v>168</v>
      </c>
    </row>
    <row r="137" spans="1:9">
      <c r="A137" s="41">
        <v>45677</v>
      </c>
      <c r="B137" s="42">
        <v>0.88005787037037042</v>
      </c>
      <c r="C137" t="s">
        <v>155</v>
      </c>
      <c r="D137" t="s">
        <v>42</v>
      </c>
      <c r="E137" t="s">
        <v>166</v>
      </c>
      <c r="F137" t="s">
        <v>167</v>
      </c>
      <c r="G137">
        <v>-20000</v>
      </c>
      <c r="H137" t="s">
        <v>156</v>
      </c>
      <c r="I137" t="s">
        <v>168</v>
      </c>
    </row>
    <row r="138" spans="1:9">
      <c r="A138" s="41">
        <v>45677</v>
      </c>
      <c r="B138" s="42">
        <v>0.61820601851851853</v>
      </c>
      <c r="C138" t="s">
        <v>155</v>
      </c>
      <c r="D138" t="s">
        <v>42</v>
      </c>
      <c r="E138" t="s">
        <v>171</v>
      </c>
      <c r="F138" t="s">
        <v>172</v>
      </c>
      <c r="G138">
        <v>-6500</v>
      </c>
      <c r="H138" t="s">
        <v>156</v>
      </c>
      <c r="I138" t="s">
        <v>168</v>
      </c>
    </row>
    <row r="139" spans="1:9">
      <c r="A139" s="41">
        <v>45676</v>
      </c>
      <c r="B139" s="42">
        <v>0.36846064814814822</v>
      </c>
      <c r="C139" t="s">
        <v>155</v>
      </c>
      <c r="D139" t="s">
        <v>42</v>
      </c>
      <c r="E139" t="s">
        <v>177</v>
      </c>
      <c r="F139" t="s">
        <v>170</v>
      </c>
      <c r="G139">
        <v>-47000</v>
      </c>
      <c r="H139" t="s">
        <v>156</v>
      </c>
      <c r="I139" t="s">
        <v>168</v>
      </c>
    </row>
    <row r="140" spans="1:9">
      <c r="A140" s="41">
        <v>45674</v>
      </c>
      <c r="B140" s="42">
        <v>0.98806712962962961</v>
      </c>
      <c r="C140" t="s">
        <v>155</v>
      </c>
      <c r="D140" t="s">
        <v>42</v>
      </c>
      <c r="E140" t="s">
        <v>166</v>
      </c>
      <c r="F140" t="s">
        <v>167</v>
      </c>
      <c r="G140">
        <v>-9000</v>
      </c>
      <c r="H140" t="s">
        <v>156</v>
      </c>
      <c r="I140" t="s">
        <v>168</v>
      </c>
    </row>
    <row r="141" spans="1:9">
      <c r="A141" s="41">
        <v>45669</v>
      </c>
      <c r="B141" s="42">
        <v>0.3752199074074074</v>
      </c>
      <c r="C141" t="s">
        <v>155</v>
      </c>
      <c r="D141" t="s">
        <v>42</v>
      </c>
      <c r="E141" t="s">
        <v>171</v>
      </c>
      <c r="F141" t="s">
        <v>172</v>
      </c>
      <c r="G141">
        <v>-19500</v>
      </c>
      <c r="H141" t="s">
        <v>156</v>
      </c>
      <c r="I141" t="s">
        <v>168</v>
      </c>
    </row>
    <row r="142" spans="1:9">
      <c r="A142" s="41">
        <v>45664</v>
      </c>
      <c r="B142" s="42">
        <v>0.38716435185185177</v>
      </c>
      <c r="C142" t="s">
        <v>155</v>
      </c>
      <c r="D142" t="s">
        <v>42</v>
      </c>
      <c r="E142" t="s">
        <v>166</v>
      </c>
      <c r="F142" t="s">
        <v>167</v>
      </c>
      <c r="G142">
        <v>-990</v>
      </c>
      <c r="H142" t="s">
        <v>156</v>
      </c>
      <c r="I142" t="s">
        <v>168</v>
      </c>
    </row>
    <row r="143" spans="1:9">
      <c r="A143" s="41">
        <v>45664</v>
      </c>
      <c r="B143" s="42">
        <v>0.38715277777777779</v>
      </c>
      <c r="C143" t="s">
        <v>155</v>
      </c>
      <c r="D143" t="s">
        <v>42</v>
      </c>
      <c r="E143" t="s">
        <v>166</v>
      </c>
      <c r="F143" t="s">
        <v>167</v>
      </c>
      <c r="G143">
        <v>-3900</v>
      </c>
      <c r="H143" t="s">
        <v>156</v>
      </c>
      <c r="I143" t="s">
        <v>168</v>
      </c>
    </row>
    <row r="144" spans="1:9">
      <c r="A144" s="41">
        <v>45663</v>
      </c>
      <c r="B144" s="42">
        <v>0.98025462962962961</v>
      </c>
      <c r="C144" t="s">
        <v>155</v>
      </c>
      <c r="D144" t="s">
        <v>42</v>
      </c>
      <c r="E144" t="s">
        <v>166</v>
      </c>
      <c r="F144" t="s">
        <v>167</v>
      </c>
      <c r="G144">
        <v>-9000</v>
      </c>
      <c r="H144" t="s">
        <v>156</v>
      </c>
      <c r="I144" t="s">
        <v>168</v>
      </c>
    </row>
    <row r="145" spans="1:9">
      <c r="A145" s="41">
        <v>45663</v>
      </c>
      <c r="B145" s="42">
        <v>0.28056712962962971</v>
      </c>
      <c r="C145" t="s">
        <v>155</v>
      </c>
      <c r="D145" t="s">
        <v>42</v>
      </c>
      <c r="E145" t="s">
        <v>190</v>
      </c>
      <c r="F145" t="s">
        <v>170</v>
      </c>
      <c r="G145">
        <v>-990</v>
      </c>
      <c r="H145" t="s">
        <v>156</v>
      </c>
      <c r="I145" t="s">
        <v>168</v>
      </c>
    </row>
    <row r="146" spans="1:9">
      <c r="A146" s="41">
        <v>45659</v>
      </c>
      <c r="B146" s="42">
        <v>0.98358796296296291</v>
      </c>
      <c r="C146" t="s">
        <v>155</v>
      </c>
      <c r="D146" t="s">
        <v>42</v>
      </c>
      <c r="E146" t="s">
        <v>166</v>
      </c>
      <c r="F146" t="s">
        <v>167</v>
      </c>
      <c r="G146">
        <v>-9000</v>
      </c>
      <c r="H146" t="s">
        <v>156</v>
      </c>
      <c r="I146" t="s">
        <v>168</v>
      </c>
    </row>
    <row r="147" spans="1:9">
      <c r="A147" s="41">
        <v>45652</v>
      </c>
      <c r="B147" s="42">
        <v>1.484953703703704E-2</v>
      </c>
      <c r="C147" t="s">
        <v>155</v>
      </c>
      <c r="D147" t="s">
        <v>42</v>
      </c>
      <c r="E147" t="s">
        <v>171</v>
      </c>
      <c r="F147" t="s">
        <v>172</v>
      </c>
      <c r="G147">
        <v>-13000</v>
      </c>
      <c r="H147" t="s">
        <v>156</v>
      </c>
      <c r="I147" t="s">
        <v>168</v>
      </c>
    </row>
    <row r="148" spans="1:9">
      <c r="A148" s="41">
        <v>45647</v>
      </c>
      <c r="B148" s="42">
        <v>0.8911458333333333</v>
      </c>
      <c r="C148" t="s">
        <v>155</v>
      </c>
      <c r="D148" t="s">
        <v>35</v>
      </c>
      <c r="E148" t="s">
        <v>180</v>
      </c>
      <c r="F148" t="s">
        <v>191</v>
      </c>
      <c r="G148">
        <v>-5000</v>
      </c>
      <c r="H148" t="s">
        <v>156</v>
      </c>
      <c r="I148" t="s">
        <v>168</v>
      </c>
    </row>
    <row r="149" spans="1:9">
      <c r="A149" s="41">
        <v>45647</v>
      </c>
      <c r="B149" s="42">
        <v>0.82416666666666671</v>
      </c>
      <c r="C149" t="s">
        <v>155</v>
      </c>
      <c r="D149" t="s">
        <v>35</v>
      </c>
      <c r="E149" t="s">
        <v>180</v>
      </c>
      <c r="F149" t="s">
        <v>191</v>
      </c>
      <c r="G149">
        <v>-4500</v>
      </c>
      <c r="H149" t="s">
        <v>156</v>
      </c>
      <c r="I149" t="s">
        <v>168</v>
      </c>
    </row>
    <row r="150" spans="1:9">
      <c r="A150" s="41">
        <v>45646</v>
      </c>
      <c r="B150" s="42">
        <v>0.61717592592592596</v>
      </c>
      <c r="C150" t="s">
        <v>155</v>
      </c>
      <c r="D150" t="s">
        <v>42</v>
      </c>
      <c r="E150" t="s">
        <v>171</v>
      </c>
      <c r="F150" t="s">
        <v>172</v>
      </c>
      <c r="G150">
        <v>-6500</v>
      </c>
      <c r="H150" t="s">
        <v>156</v>
      </c>
      <c r="I150" t="s">
        <v>168</v>
      </c>
    </row>
    <row r="151" spans="1:9">
      <c r="A151" s="41">
        <v>45638</v>
      </c>
      <c r="B151" s="42">
        <v>0.6656481481481481</v>
      </c>
      <c r="C151" t="s">
        <v>155</v>
      </c>
      <c r="D151" t="s">
        <v>42</v>
      </c>
      <c r="E151" t="s">
        <v>166</v>
      </c>
      <c r="F151" t="s">
        <v>167</v>
      </c>
      <c r="G151">
        <v>-9000</v>
      </c>
      <c r="H151" t="s">
        <v>156</v>
      </c>
      <c r="I151" t="s">
        <v>168</v>
      </c>
    </row>
    <row r="152" spans="1:9">
      <c r="A152" s="41">
        <v>45638</v>
      </c>
      <c r="B152" s="42">
        <v>0.37586805555555558</v>
      </c>
      <c r="C152" t="s">
        <v>155</v>
      </c>
      <c r="D152" t="s">
        <v>42</v>
      </c>
      <c r="E152" t="s">
        <v>171</v>
      </c>
      <c r="F152" t="s">
        <v>172</v>
      </c>
      <c r="G152">
        <v>-19500</v>
      </c>
      <c r="H152" t="s">
        <v>156</v>
      </c>
      <c r="I152" t="s">
        <v>168</v>
      </c>
    </row>
    <row r="153" spans="1:9">
      <c r="A153" s="41">
        <v>45633</v>
      </c>
      <c r="B153" s="42">
        <v>0.38657407407407413</v>
      </c>
      <c r="C153" t="s">
        <v>155</v>
      </c>
      <c r="D153" t="s">
        <v>42</v>
      </c>
      <c r="E153" t="s">
        <v>166</v>
      </c>
      <c r="F153" t="s">
        <v>167</v>
      </c>
      <c r="G153">
        <v>-990</v>
      </c>
      <c r="H153" t="s">
        <v>156</v>
      </c>
      <c r="I153" t="s">
        <v>168</v>
      </c>
    </row>
    <row r="154" spans="1:9">
      <c r="A154" s="41">
        <v>45633</v>
      </c>
      <c r="B154" s="42">
        <v>0.38656249999999998</v>
      </c>
      <c r="C154" t="s">
        <v>155</v>
      </c>
      <c r="D154" t="s">
        <v>42</v>
      </c>
      <c r="E154" t="s">
        <v>166</v>
      </c>
      <c r="F154" t="s">
        <v>167</v>
      </c>
      <c r="G154">
        <v>-3900</v>
      </c>
      <c r="H154" t="s">
        <v>156</v>
      </c>
      <c r="I154" t="s">
        <v>168</v>
      </c>
    </row>
    <row r="155" spans="1:9">
      <c r="A155" s="41">
        <v>45632</v>
      </c>
      <c r="B155" s="42">
        <v>0.28056712962962971</v>
      </c>
      <c r="C155" t="s">
        <v>155</v>
      </c>
      <c r="D155" t="s">
        <v>42</v>
      </c>
      <c r="E155" t="s">
        <v>190</v>
      </c>
      <c r="F155" t="s">
        <v>170</v>
      </c>
      <c r="G155">
        <v>-990</v>
      </c>
      <c r="H155" t="s">
        <v>156</v>
      </c>
      <c r="I155" t="s">
        <v>168</v>
      </c>
    </row>
    <row r="156" spans="1:9">
      <c r="A156" s="41">
        <v>45629</v>
      </c>
      <c r="B156" s="42">
        <v>0.42328703703703702</v>
      </c>
      <c r="C156" t="s">
        <v>155</v>
      </c>
      <c r="D156" t="s">
        <v>42</v>
      </c>
      <c r="E156" t="s">
        <v>166</v>
      </c>
      <c r="F156" t="s">
        <v>167</v>
      </c>
      <c r="G156">
        <v>-9000</v>
      </c>
      <c r="H156" t="s">
        <v>156</v>
      </c>
      <c r="I156" t="s">
        <v>168</v>
      </c>
    </row>
    <row r="157" spans="1:9">
      <c r="A157" s="41">
        <v>45622</v>
      </c>
      <c r="B157" s="42">
        <v>1.172453703703704E-2</v>
      </c>
      <c r="C157" t="s">
        <v>155</v>
      </c>
      <c r="D157" t="s">
        <v>42</v>
      </c>
      <c r="E157" t="s">
        <v>171</v>
      </c>
      <c r="F157" t="s">
        <v>172</v>
      </c>
      <c r="G157">
        <v>-13000</v>
      </c>
      <c r="H157" t="s">
        <v>156</v>
      </c>
      <c r="I157" t="s">
        <v>168</v>
      </c>
    </row>
    <row r="158" spans="1:9">
      <c r="A158" s="41">
        <v>45616</v>
      </c>
      <c r="B158" s="42">
        <v>0.61895833333333339</v>
      </c>
      <c r="C158" t="s">
        <v>155</v>
      </c>
      <c r="D158" t="s">
        <v>42</v>
      </c>
      <c r="E158" t="s">
        <v>171</v>
      </c>
      <c r="F158" t="s">
        <v>172</v>
      </c>
      <c r="G158">
        <v>-6500</v>
      </c>
      <c r="H158" t="s">
        <v>156</v>
      </c>
      <c r="I158" t="s">
        <v>168</v>
      </c>
    </row>
    <row r="159" spans="1:9">
      <c r="A159" s="41">
        <v>45615</v>
      </c>
      <c r="B159" s="42">
        <v>0.98052083333333329</v>
      </c>
      <c r="C159" t="s">
        <v>155</v>
      </c>
      <c r="D159" t="s">
        <v>42</v>
      </c>
      <c r="E159" t="s">
        <v>166</v>
      </c>
      <c r="F159" t="s">
        <v>167</v>
      </c>
      <c r="G159">
        <v>-9000</v>
      </c>
      <c r="H159" t="s">
        <v>156</v>
      </c>
      <c r="I159" t="s">
        <v>168</v>
      </c>
    </row>
    <row r="160" spans="1:9">
      <c r="A160" s="41">
        <v>45615</v>
      </c>
      <c r="B160" s="42">
        <v>0.44837962962962957</v>
      </c>
      <c r="C160" t="s">
        <v>155</v>
      </c>
      <c r="D160" t="s">
        <v>33</v>
      </c>
      <c r="E160" t="s">
        <v>178</v>
      </c>
      <c r="F160" t="s">
        <v>192</v>
      </c>
      <c r="G160">
        <v>-8600</v>
      </c>
      <c r="H160" t="s">
        <v>156</v>
      </c>
      <c r="I160" t="s">
        <v>168</v>
      </c>
    </row>
    <row r="161" spans="1:9">
      <c r="A161" s="41">
        <v>45615</v>
      </c>
      <c r="B161" s="42">
        <v>0.43711805555555561</v>
      </c>
      <c r="C161" t="s">
        <v>155</v>
      </c>
      <c r="D161" t="s">
        <v>33</v>
      </c>
      <c r="E161" t="s">
        <v>178</v>
      </c>
      <c r="F161" t="s">
        <v>192</v>
      </c>
      <c r="G161">
        <v>9100</v>
      </c>
      <c r="H161" t="s">
        <v>156</v>
      </c>
      <c r="I161" t="s">
        <v>168</v>
      </c>
    </row>
    <row r="162" spans="1:9">
      <c r="A162" s="41">
        <v>45615</v>
      </c>
      <c r="B162" s="42">
        <v>0.43711805555555561</v>
      </c>
      <c r="C162" t="s">
        <v>155</v>
      </c>
      <c r="D162" t="s">
        <v>33</v>
      </c>
      <c r="E162" t="s">
        <v>178</v>
      </c>
      <c r="F162" t="s">
        <v>192</v>
      </c>
      <c r="G162">
        <v>-9100</v>
      </c>
      <c r="H162" t="s">
        <v>156</v>
      </c>
      <c r="I162" t="s">
        <v>168</v>
      </c>
    </row>
    <row r="163" spans="1:9">
      <c r="A163" s="41">
        <v>45615</v>
      </c>
      <c r="B163" s="42">
        <v>0.35949074074074072</v>
      </c>
      <c r="C163" t="s">
        <v>155</v>
      </c>
      <c r="D163" t="s">
        <v>33</v>
      </c>
      <c r="E163" t="s">
        <v>193</v>
      </c>
      <c r="F163" t="s">
        <v>194</v>
      </c>
      <c r="G163">
        <v>34000</v>
      </c>
      <c r="H163" t="s">
        <v>156</v>
      </c>
      <c r="I163" t="s">
        <v>168</v>
      </c>
    </row>
    <row r="164" spans="1:9">
      <c r="A164" s="41">
        <v>45615</v>
      </c>
      <c r="B164" s="42">
        <v>0.35804398148148148</v>
      </c>
      <c r="C164" t="s">
        <v>155</v>
      </c>
      <c r="D164" t="s">
        <v>33</v>
      </c>
      <c r="E164" t="s">
        <v>193</v>
      </c>
      <c r="F164" t="s">
        <v>194</v>
      </c>
      <c r="G164">
        <v>-36900</v>
      </c>
      <c r="H164" t="s">
        <v>156</v>
      </c>
      <c r="I164" t="s">
        <v>168</v>
      </c>
    </row>
    <row r="165" spans="1:9">
      <c r="A165" s="41">
        <v>45614</v>
      </c>
      <c r="B165" s="42">
        <v>0.96553240740740742</v>
      </c>
      <c r="C165" t="s">
        <v>155</v>
      </c>
      <c r="D165" t="s">
        <v>33</v>
      </c>
      <c r="E165" t="s">
        <v>193</v>
      </c>
      <c r="F165" t="s">
        <v>194</v>
      </c>
      <c r="G165">
        <v>-34000</v>
      </c>
      <c r="H165" t="s">
        <v>156</v>
      </c>
      <c r="I165" t="s">
        <v>168</v>
      </c>
    </row>
    <row r="166" spans="1:9">
      <c r="A166" s="41">
        <v>45614</v>
      </c>
      <c r="B166" s="42">
        <v>0.96480324074074075</v>
      </c>
      <c r="C166" t="s">
        <v>155</v>
      </c>
      <c r="D166" t="s">
        <v>33</v>
      </c>
      <c r="E166" t="s">
        <v>193</v>
      </c>
      <c r="F166" t="s">
        <v>194</v>
      </c>
      <c r="G166">
        <v>-36900</v>
      </c>
      <c r="H166" t="s">
        <v>156</v>
      </c>
      <c r="I166" t="s">
        <v>168</v>
      </c>
    </row>
    <row r="167" spans="1:9">
      <c r="A167" s="41">
        <v>45612</v>
      </c>
      <c r="B167" s="42">
        <v>0.94900462962962961</v>
      </c>
      <c r="C167" t="s">
        <v>155</v>
      </c>
      <c r="D167" t="s">
        <v>35</v>
      </c>
      <c r="E167" t="s">
        <v>180</v>
      </c>
      <c r="F167" t="s">
        <v>195</v>
      </c>
      <c r="G167">
        <v>-88000</v>
      </c>
      <c r="H167" t="s">
        <v>156</v>
      </c>
      <c r="I167" t="s">
        <v>168</v>
      </c>
    </row>
    <row r="168" spans="1:9">
      <c r="A168" s="41">
        <v>45609</v>
      </c>
      <c r="B168" s="42">
        <v>0.37518518518518518</v>
      </c>
      <c r="C168" t="s">
        <v>155</v>
      </c>
      <c r="D168" t="s">
        <v>42</v>
      </c>
      <c r="E168" t="s">
        <v>171</v>
      </c>
      <c r="F168" t="s">
        <v>172</v>
      </c>
      <c r="G168">
        <v>-19500</v>
      </c>
      <c r="H168" t="s">
        <v>156</v>
      </c>
      <c r="I168" t="s">
        <v>168</v>
      </c>
    </row>
    <row r="169" spans="1:9">
      <c r="A169" s="41">
        <v>45607</v>
      </c>
      <c r="B169" s="42">
        <v>0.88041666666666663</v>
      </c>
      <c r="C169" t="s">
        <v>155</v>
      </c>
      <c r="D169" t="s">
        <v>42</v>
      </c>
      <c r="E169" t="s">
        <v>166</v>
      </c>
      <c r="F169" t="s">
        <v>167</v>
      </c>
      <c r="G169">
        <v>-50000</v>
      </c>
      <c r="H169" t="s">
        <v>156</v>
      </c>
      <c r="I169" t="s">
        <v>168</v>
      </c>
    </row>
    <row r="170" spans="1:9">
      <c r="A170" s="41">
        <v>45606</v>
      </c>
      <c r="B170" s="42">
        <v>4.2824074074074081E-4</v>
      </c>
      <c r="C170" t="s">
        <v>155</v>
      </c>
      <c r="D170" t="s">
        <v>33</v>
      </c>
      <c r="E170" t="s">
        <v>178</v>
      </c>
      <c r="F170" t="s">
        <v>179</v>
      </c>
      <c r="G170">
        <v>-39500</v>
      </c>
      <c r="H170" t="s">
        <v>156</v>
      </c>
      <c r="I170" t="s">
        <v>168</v>
      </c>
    </row>
    <row r="171" spans="1:9">
      <c r="A171" s="41">
        <v>45605</v>
      </c>
      <c r="B171" s="42">
        <v>0.96909722222222228</v>
      </c>
      <c r="C171" t="s">
        <v>155</v>
      </c>
      <c r="D171" t="s">
        <v>33</v>
      </c>
      <c r="E171" t="s">
        <v>178</v>
      </c>
      <c r="F171" t="s">
        <v>179</v>
      </c>
      <c r="G171">
        <v>27400</v>
      </c>
      <c r="H171" t="s">
        <v>156</v>
      </c>
      <c r="I171" t="s">
        <v>168</v>
      </c>
    </row>
    <row r="172" spans="1:9">
      <c r="A172" s="41">
        <v>45605</v>
      </c>
      <c r="B172" s="42">
        <v>0.96909722222222228</v>
      </c>
      <c r="C172" t="s">
        <v>155</v>
      </c>
      <c r="D172" t="s">
        <v>33</v>
      </c>
      <c r="E172" t="s">
        <v>178</v>
      </c>
      <c r="F172" t="s">
        <v>179</v>
      </c>
      <c r="G172">
        <v>-27400</v>
      </c>
      <c r="H172" t="s">
        <v>156</v>
      </c>
      <c r="I172" t="s">
        <v>168</v>
      </c>
    </row>
    <row r="173" spans="1:9">
      <c r="A173" s="41">
        <v>45605</v>
      </c>
      <c r="B173" s="42">
        <v>0.4485763888888889</v>
      </c>
      <c r="C173" t="s">
        <v>155</v>
      </c>
      <c r="D173" t="s">
        <v>42</v>
      </c>
      <c r="E173" t="s">
        <v>171</v>
      </c>
      <c r="F173" t="s">
        <v>172</v>
      </c>
      <c r="G173">
        <v>-9900</v>
      </c>
      <c r="H173" t="s">
        <v>156</v>
      </c>
      <c r="I173" t="s">
        <v>168</v>
      </c>
    </row>
    <row r="174" spans="1:9">
      <c r="A174" s="41">
        <v>45604</v>
      </c>
      <c r="B174" s="42">
        <v>0.75968749999999996</v>
      </c>
      <c r="C174" t="s">
        <v>155</v>
      </c>
      <c r="D174" t="s">
        <v>33</v>
      </c>
      <c r="E174" t="s">
        <v>178</v>
      </c>
      <c r="F174" t="s">
        <v>179</v>
      </c>
      <c r="G174">
        <v>-35500</v>
      </c>
      <c r="H174" t="s">
        <v>156</v>
      </c>
      <c r="I174" t="s">
        <v>168</v>
      </c>
    </row>
    <row r="175" spans="1:9">
      <c r="A175" s="41">
        <v>45604</v>
      </c>
      <c r="B175" s="42">
        <v>0.66913194444444446</v>
      </c>
      <c r="C175" t="s">
        <v>155</v>
      </c>
      <c r="D175" t="s">
        <v>33</v>
      </c>
      <c r="E175" t="s">
        <v>178</v>
      </c>
      <c r="F175" t="s">
        <v>179</v>
      </c>
      <c r="G175">
        <v>20500</v>
      </c>
      <c r="H175" t="s">
        <v>156</v>
      </c>
      <c r="I175" t="s">
        <v>168</v>
      </c>
    </row>
    <row r="176" spans="1:9">
      <c r="A176" s="41">
        <v>45604</v>
      </c>
      <c r="B176" s="42">
        <v>0.66913194444444446</v>
      </c>
      <c r="C176" t="s">
        <v>155</v>
      </c>
      <c r="D176" t="s">
        <v>33</v>
      </c>
      <c r="E176" t="s">
        <v>178</v>
      </c>
      <c r="F176" t="s">
        <v>179</v>
      </c>
      <c r="G176">
        <v>-20500</v>
      </c>
      <c r="H176" t="s">
        <v>156</v>
      </c>
      <c r="I176" t="s">
        <v>168</v>
      </c>
    </row>
    <row r="177" spans="1:9">
      <c r="A177" s="41">
        <v>45604</v>
      </c>
      <c r="B177" s="42">
        <v>0.2143865740740741</v>
      </c>
      <c r="C177" t="s">
        <v>155</v>
      </c>
      <c r="D177" t="s">
        <v>33</v>
      </c>
      <c r="E177" t="s">
        <v>178</v>
      </c>
      <c r="F177" t="s">
        <v>179</v>
      </c>
      <c r="G177">
        <v>-10100</v>
      </c>
      <c r="H177" t="s">
        <v>156</v>
      </c>
      <c r="I177" t="s">
        <v>168</v>
      </c>
    </row>
    <row r="178" spans="1:9">
      <c r="A178" s="41">
        <v>45604</v>
      </c>
      <c r="B178" s="42">
        <v>0.20197916666666671</v>
      </c>
      <c r="C178" t="s">
        <v>155</v>
      </c>
      <c r="D178" t="s">
        <v>33</v>
      </c>
      <c r="E178" t="s">
        <v>178</v>
      </c>
      <c r="F178" t="s">
        <v>179</v>
      </c>
      <c r="G178">
        <v>10500</v>
      </c>
      <c r="H178" t="s">
        <v>156</v>
      </c>
      <c r="I178" t="s">
        <v>168</v>
      </c>
    </row>
    <row r="179" spans="1:9">
      <c r="A179" s="41">
        <v>45604</v>
      </c>
      <c r="B179" s="42">
        <v>0.20197916666666671</v>
      </c>
      <c r="C179" t="s">
        <v>155</v>
      </c>
      <c r="D179" t="s">
        <v>33</v>
      </c>
      <c r="E179" t="s">
        <v>178</v>
      </c>
      <c r="F179" t="s">
        <v>179</v>
      </c>
      <c r="G179">
        <v>-10500</v>
      </c>
      <c r="H179" t="s">
        <v>156</v>
      </c>
      <c r="I179" t="s">
        <v>168</v>
      </c>
    </row>
    <row r="180" spans="1:9">
      <c r="A180" s="41">
        <v>45603</v>
      </c>
      <c r="B180" s="42">
        <v>0.38725694444444442</v>
      </c>
      <c r="C180" t="s">
        <v>155</v>
      </c>
      <c r="D180" t="s">
        <v>42</v>
      </c>
      <c r="E180" t="s">
        <v>166</v>
      </c>
      <c r="F180" t="s">
        <v>167</v>
      </c>
      <c r="G180">
        <v>-990</v>
      </c>
      <c r="H180" t="s">
        <v>156</v>
      </c>
      <c r="I180" t="s">
        <v>168</v>
      </c>
    </row>
    <row r="181" spans="1:9">
      <c r="A181" s="41">
        <v>45603</v>
      </c>
      <c r="B181" s="42">
        <v>0.38724537037037038</v>
      </c>
      <c r="C181" t="s">
        <v>155</v>
      </c>
      <c r="D181" t="s">
        <v>42</v>
      </c>
      <c r="E181" t="s">
        <v>166</v>
      </c>
      <c r="F181" t="s">
        <v>167</v>
      </c>
      <c r="G181">
        <v>-3900</v>
      </c>
      <c r="H181" t="s">
        <v>156</v>
      </c>
      <c r="I181" t="s">
        <v>168</v>
      </c>
    </row>
    <row r="182" spans="1:9">
      <c r="A182" s="41">
        <v>45602</v>
      </c>
      <c r="B182" s="42">
        <v>0.66497685185185185</v>
      </c>
      <c r="C182" t="s">
        <v>155</v>
      </c>
      <c r="D182" t="s">
        <v>42</v>
      </c>
      <c r="E182" t="s">
        <v>166</v>
      </c>
      <c r="F182" t="s">
        <v>167</v>
      </c>
      <c r="G182">
        <v>-9000</v>
      </c>
      <c r="H182" t="s">
        <v>156</v>
      </c>
      <c r="I182" t="s">
        <v>168</v>
      </c>
    </row>
    <row r="183" spans="1:9">
      <c r="A183" s="41">
        <v>45602</v>
      </c>
      <c r="B183" s="42">
        <v>0.28056712962962971</v>
      </c>
      <c r="C183" t="s">
        <v>155</v>
      </c>
      <c r="D183" t="s">
        <v>42</v>
      </c>
      <c r="E183" t="s">
        <v>190</v>
      </c>
      <c r="F183" t="s">
        <v>170</v>
      </c>
      <c r="G183">
        <v>-990</v>
      </c>
      <c r="H183" t="s">
        <v>156</v>
      </c>
      <c r="I183" t="s">
        <v>168</v>
      </c>
    </row>
    <row r="184" spans="1:9">
      <c r="A184" s="41">
        <v>45596</v>
      </c>
      <c r="B184" s="42">
        <v>0.9751157407407407</v>
      </c>
      <c r="C184" t="s">
        <v>155</v>
      </c>
      <c r="D184" t="s">
        <v>42</v>
      </c>
      <c r="E184" t="s">
        <v>166</v>
      </c>
      <c r="F184" t="s">
        <v>167</v>
      </c>
      <c r="G184">
        <v>-9000</v>
      </c>
      <c r="H184" t="s">
        <v>156</v>
      </c>
      <c r="I184" t="s">
        <v>168</v>
      </c>
    </row>
    <row r="185" spans="1:9">
      <c r="A185" s="41">
        <v>45594</v>
      </c>
      <c r="B185" s="42">
        <v>0.66341435185185182</v>
      </c>
      <c r="C185" t="s">
        <v>155</v>
      </c>
      <c r="D185" t="s">
        <v>42</v>
      </c>
      <c r="E185" t="s">
        <v>166</v>
      </c>
      <c r="F185" t="s">
        <v>167</v>
      </c>
      <c r="G185">
        <v>-9000</v>
      </c>
      <c r="H185" t="s">
        <v>156</v>
      </c>
      <c r="I185" t="s">
        <v>168</v>
      </c>
    </row>
    <row r="186" spans="1:9">
      <c r="A186" s="41">
        <v>45591</v>
      </c>
      <c r="B186" s="42">
        <v>0.99578703703703708</v>
      </c>
      <c r="C186" t="s">
        <v>155</v>
      </c>
      <c r="D186" t="s">
        <v>33</v>
      </c>
      <c r="E186" t="s">
        <v>178</v>
      </c>
      <c r="F186" t="s">
        <v>179</v>
      </c>
      <c r="G186">
        <v>-42100</v>
      </c>
      <c r="H186" t="s">
        <v>156</v>
      </c>
      <c r="I186" t="s">
        <v>168</v>
      </c>
    </row>
    <row r="187" spans="1:9">
      <c r="A187" s="41">
        <v>45591</v>
      </c>
      <c r="B187" s="42">
        <v>0.97584490740740737</v>
      </c>
      <c r="C187" t="s">
        <v>155</v>
      </c>
      <c r="D187" t="s">
        <v>33</v>
      </c>
      <c r="E187" t="s">
        <v>178</v>
      </c>
      <c r="F187" t="s">
        <v>179</v>
      </c>
      <c r="G187">
        <v>34400</v>
      </c>
      <c r="H187" t="s">
        <v>156</v>
      </c>
      <c r="I187" t="s">
        <v>168</v>
      </c>
    </row>
    <row r="188" spans="1:9">
      <c r="A188" s="41">
        <v>45591</v>
      </c>
      <c r="B188" s="42">
        <v>0.97583333333333333</v>
      </c>
      <c r="C188" t="s">
        <v>155</v>
      </c>
      <c r="D188" t="s">
        <v>33</v>
      </c>
      <c r="E188" t="s">
        <v>178</v>
      </c>
      <c r="F188" t="s">
        <v>179</v>
      </c>
      <c r="G188">
        <v>-34400</v>
      </c>
      <c r="H188" t="s">
        <v>156</v>
      </c>
      <c r="I188" t="s">
        <v>168</v>
      </c>
    </row>
    <row r="189" spans="1:9">
      <c r="A189" s="41">
        <v>45590</v>
      </c>
      <c r="B189" s="42">
        <v>0.29936342592592591</v>
      </c>
      <c r="C189" t="s">
        <v>155</v>
      </c>
      <c r="D189" t="s">
        <v>42</v>
      </c>
      <c r="E189" t="s">
        <v>171</v>
      </c>
      <c r="F189" t="s">
        <v>172</v>
      </c>
      <c r="G189">
        <v>-13000</v>
      </c>
      <c r="H189" t="s">
        <v>156</v>
      </c>
      <c r="I189" t="s">
        <v>168</v>
      </c>
    </row>
    <row r="190" spans="1:9">
      <c r="A190" s="41">
        <v>45589</v>
      </c>
      <c r="B190" s="42">
        <v>0.49273148148148149</v>
      </c>
      <c r="C190" t="s">
        <v>155</v>
      </c>
      <c r="D190" t="s">
        <v>42</v>
      </c>
      <c r="E190" t="s">
        <v>166</v>
      </c>
      <c r="F190" t="s">
        <v>167</v>
      </c>
      <c r="G190">
        <v>-39900</v>
      </c>
      <c r="H190" t="s">
        <v>156</v>
      </c>
      <c r="I190" t="s">
        <v>168</v>
      </c>
    </row>
    <row r="191" spans="1:9">
      <c r="A191" s="41">
        <v>45585</v>
      </c>
      <c r="B191" s="42">
        <v>0.57572916666666663</v>
      </c>
      <c r="C191" t="s">
        <v>155</v>
      </c>
      <c r="D191" t="s">
        <v>42</v>
      </c>
      <c r="E191" t="s">
        <v>171</v>
      </c>
      <c r="F191" t="s">
        <v>172</v>
      </c>
      <c r="G191">
        <v>-6500</v>
      </c>
      <c r="H191" t="s">
        <v>156</v>
      </c>
      <c r="I191" t="s">
        <v>168</v>
      </c>
    </row>
    <row r="192" spans="1:9">
      <c r="A192" s="41">
        <v>45584</v>
      </c>
      <c r="B192" s="42">
        <v>0.96097222222222223</v>
      </c>
      <c r="C192" t="s">
        <v>155</v>
      </c>
      <c r="D192" t="s">
        <v>35</v>
      </c>
      <c r="E192" t="s">
        <v>180</v>
      </c>
      <c r="F192" t="s">
        <v>191</v>
      </c>
      <c r="G192">
        <v>-3500</v>
      </c>
      <c r="H192" t="s">
        <v>156</v>
      </c>
      <c r="I192" t="s">
        <v>168</v>
      </c>
    </row>
    <row r="193" spans="1:9">
      <c r="A193" s="41">
        <v>45584</v>
      </c>
      <c r="B193" s="42">
        <v>0.90361111111111114</v>
      </c>
      <c r="C193" t="s">
        <v>155</v>
      </c>
      <c r="D193" t="s">
        <v>35</v>
      </c>
      <c r="E193" t="s">
        <v>180</v>
      </c>
      <c r="F193" t="s">
        <v>191</v>
      </c>
      <c r="G193">
        <v>-5000</v>
      </c>
      <c r="H193" t="s">
        <v>156</v>
      </c>
      <c r="I193" t="s">
        <v>168</v>
      </c>
    </row>
    <row r="194" spans="1:9">
      <c r="A194" s="41">
        <v>45583</v>
      </c>
      <c r="B194" s="42">
        <v>0.82460648148148152</v>
      </c>
      <c r="C194" t="s">
        <v>155</v>
      </c>
      <c r="D194" t="s">
        <v>42</v>
      </c>
      <c r="E194" t="s">
        <v>166</v>
      </c>
      <c r="F194" t="s">
        <v>167</v>
      </c>
      <c r="G194">
        <v>-9000</v>
      </c>
      <c r="H194" t="s">
        <v>156</v>
      </c>
      <c r="I194" t="s">
        <v>168</v>
      </c>
    </row>
    <row r="195" spans="1:9">
      <c r="A195" s="41">
        <v>45579</v>
      </c>
      <c r="B195" s="42">
        <v>0.64746527777777774</v>
      </c>
      <c r="C195" t="s">
        <v>155</v>
      </c>
      <c r="D195" t="s">
        <v>42</v>
      </c>
      <c r="E195" t="s">
        <v>166</v>
      </c>
      <c r="F195" t="s">
        <v>167</v>
      </c>
      <c r="G195">
        <v>-9000</v>
      </c>
      <c r="H195" t="s">
        <v>156</v>
      </c>
      <c r="I195" t="s">
        <v>168</v>
      </c>
    </row>
    <row r="196" spans="1:9">
      <c r="A196" s="41">
        <v>45578</v>
      </c>
      <c r="B196" s="42">
        <v>0.33355324074074072</v>
      </c>
      <c r="C196" t="s">
        <v>155</v>
      </c>
      <c r="D196" t="s">
        <v>42</v>
      </c>
      <c r="E196" t="s">
        <v>171</v>
      </c>
      <c r="F196" t="s">
        <v>172</v>
      </c>
      <c r="G196">
        <v>-19500</v>
      </c>
      <c r="H196" t="s">
        <v>156</v>
      </c>
      <c r="I196" t="s">
        <v>168</v>
      </c>
    </row>
    <row r="197" spans="1:9">
      <c r="A197" s="41">
        <v>45578</v>
      </c>
      <c r="B197" s="42">
        <v>8.3657407407407403E-2</v>
      </c>
      <c r="C197" t="s">
        <v>155</v>
      </c>
      <c r="D197" t="s">
        <v>33</v>
      </c>
      <c r="E197" t="s">
        <v>178</v>
      </c>
      <c r="F197" t="s">
        <v>179</v>
      </c>
      <c r="G197">
        <v>-8100</v>
      </c>
      <c r="H197" t="s">
        <v>156</v>
      </c>
      <c r="I197" t="s">
        <v>168</v>
      </c>
    </row>
    <row r="198" spans="1:9">
      <c r="A198" s="41">
        <v>45578</v>
      </c>
      <c r="B198" s="42">
        <v>7.8125E-2</v>
      </c>
      <c r="C198" t="s">
        <v>155</v>
      </c>
      <c r="D198" t="s">
        <v>33</v>
      </c>
      <c r="E198" t="s">
        <v>178</v>
      </c>
      <c r="F198" t="s">
        <v>179</v>
      </c>
      <c r="G198">
        <v>8100</v>
      </c>
      <c r="H198" t="s">
        <v>156</v>
      </c>
      <c r="I198" t="s">
        <v>168</v>
      </c>
    </row>
    <row r="199" spans="1:9">
      <c r="A199" s="41">
        <v>45578</v>
      </c>
      <c r="B199" s="42">
        <v>7.8113425925925919E-2</v>
      </c>
      <c r="C199" t="s">
        <v>155</v>
      </c>
      <c r="D199" t="s">
        <v>33</v>
      </c>
      <c r="E199" t="s">
        <v>178</v>
      </c>
      <c r="F199" t="s">
        <v>179</v>
      </c>
      <c r="G199">
        <v>-8100</v>
      </c>
      <c r="H199" t="s">
        <v>156</v>
      </c>
      <c r="I199" t="s">
        <v>168</v>
      </c>
    </row>
    <row r="200" spans="1:9">
      <c r="A200" s="41">
        <v>45577</v>
      </c>
      <c r="B200" s="42">
        <v>0.69780092592592591</v>
      </c>
      <c r="C200" t="s">
        <v>155</v>
      </c>
      <c r="D200" t="s">
        <v>33</v>
      </c>
      <c r="E200" t="s">
        <v>178</v>
      </c>
      <c r="F200" t="s">
        <v>179</v>
      </c>
      <c r="G200">
        <v>-6900</v>
      </c>
      <c r="H200" t="s">
        <v>156</v>
      </c>
      <c r="I200" t="s">
        <v>168</v>
      </c>
    </row>
    <row r="201" spans="1:9">
      <c r="A201" s="41">
        <v>45577</v>
      </c>
      <c r="B201" s="42">
        <v>0.68888888888888888</v>
      </c>
      <c r="C201" t="s">
        <v>155</v>
      </c>
      <c r="D201" t="s">
        <v>33</v>
      </c>
      <c r="E201" t="s">
        <v>178</v>
      </c>
      <c r="F201" t="s">
        <v>179</v>
      </c>
      <c r="G201">
        <v>7200</v>
      </c>
      <c r="H201" t="s">
        <v>156</v>
      </c>
      <c r="I201" t="s">
        <v>168</v>
      </c>
    </row>
    <row r="202" spans="1:9">
      <c r="A202" s="41">
        <v>45577</v>
      </c>
      <c r="B202" s="42">
        <v>0.68887731481481485</v>
      </c>
      <c r="C202" t="s">
        <v>155</v>
      </c>
      <c r="D202" t="s">
        <v>33</v>
      </c>
      <c r="E202" t="s">
        <v>178</v>
      </c>
      <c r="F202" t="s">
        <v>179</v>
      </c>
      <c r="G202">
        <v>-7200</v>
      </c>
      <c r="H202" t="s">
        <v>156</v>
      </c>
      <c r="I202" t="s">
        <v>168</v>
      </c>
    </row>
    <row r="203" spans="1:9">
      <c r="A203" s="41">
        <v>45577</v>
      </c>
      <c r="B203" s="42">
        <v>0.55527777777777776</v>
      </c>
      <c r="C203" t="s">
        <v>155</v>
      </c>
      <c r="D203" t="s">
        <v>35</v>
      </c>
      <c r="E203" t="s">
        <v>180</v>
      </c>
      <c r="F203" t="s">
        <v>196</v>
      </c>
      <c r="G203">
        <v>-3000</v>
      </c>
      <c r="H203" t="s">
        <v>156</v>
      </c>
      <c r="I203" t="s">
        <v>168</v>
      </c>
    </row>
    <row r="204" spans="1:9">
      <c r="A204" s="41">
        <v>45577</v>
      </c>
      <c r="B204" s="42">
        <v>0.55475694444444446</v>
      </c>
      <c r="C204" t="s">
        <v>155</v>
      </c>
      <c r="D204" t="s">
        <v>35</v>
      </c>
      <c r="E204" t="s">
        <v>180</v>
      </c>
      <c r="F204" t="s">
        <v>196</v>
      </c>
      <c r="G204">
        <v>-3000</v>
      </c>
      <c r="H204" t="s">
        <v>156</v>
      </c>
      <c r="I204" t="s">
        <v>168</v>
      </c>
    </row>
    <row r="205" spans="1:9">
      <c r="A205" s="41">
        <v>45576</v>
      </c>
      <c r="B205" s="42">
        <v>0.1302662037037037</v>
      </c>
      <c r="C205" t="s">
        <v>155</v>
      </c>
      <c r="D205" t="s">
        <v>42</v>
      </c>
      <c r="E205" t="s">
        <v>171</v>
      </c>
      <c r="F205" t="s">
        <v>172</v>
      </c>
      <c r="G205">
        <v>-29000</v>
      </c>
      <c r="H205" t="s">
        <v>156</v>
      </c>
      <c r="I205" t="s">
        <v>168</v>
      </c>
    </row>
    <row r="206" spans="1:9">
      <c r="A206" s="41">
        <v>45573</v>
      </c>
      <c r="B206" s="42">
        <v>0.84143518518518523</v>
      </c>
      <c r="C206" t="s">
        <v>155</v>
      </c>
      <c r="D206" t="s">
        <v>35</v>
      </c>
      <c r="E206" t="s">
        <v>180</v>
      </c>
      <c r="F206" t="s">
        <v>191</v>
      </c>
      <c r="G206">
        <v>-6000</v>
      </c>
      <c r="H206" t="s">
        <v>156</v>
      </c>
      <c r="I206" t="s">
        <v>168</v>
      </c>
    </row>
    <row r="207" spans="1:9">
      <c r="A207" s="41">
        <v>45573</v>
      </c>
      <c r="B207" s="42">
        <v>0.83168981481481485</v>
      </c>
      <c r="C207" t="s">
        <v>155</v>
      </c>
      <c r="D207" t="s">
        <v>35</v>
      </c>
      <c r="E207" t="s">
        <v>180</v>
      </c>
      <c r="F207" t="s">
        <v>191</v>
      </c>
      <c r="G207">
        <v>-11000</v>
      </c>
      <c r="H207" t="s">
        <v>156</v>
      </c>
      <c r="I207" t="s">
        <v>168</v>
      </c>
    </row>
    <row r="208" spans="1:9">
      <c r="A208" s="41">
        <v>45573</v>
      </c>
      <c r="B208" s="42">
        <v>0.83026620370370374</v>
      </c>
      <c r="C208" t="s">
        <v>155</v>
      </c>
      <c r="D208" t="s">
        <v>35</v>
      </c>
      <c r="E208" t="s">
        <v>180</v>
      </c>
      <c r="F208" t="s">
        <v>191</v>
      </c>
      <c r="G208">
        <v>-10000</v>
      </c>
      <c r="H208" t="s">
        <v>156</v>
      </c>
      <c r="I208" t="s">
        <v>168</v>
      </c>
    </row>
    <row r="209" spans="1:9">
      <c r="A209" s="41">
        <v>45573</v>
      </c>
      <c r="B209" s="42">
        <v>0.65903935185185181</v>
      </c>
      <c r="C209" t="s">
        <v>155</v>
      </c>
      <c r="D209" t="s">
        <v>42</v>
      </c>
      <c r="E209" t="s">
        <v>166</v>
      </c>
      <c r="F209" t="s">
        <v>167</v>
      </c>
      <c r="G209">
        <v>-9000</v>
      </c>
      <c r="H209" t="s">
        <v>156</v>
      </c>
      <c r="I209" t="s">
        <v>168</v>
      </c>
    </row>
    <row r="210" spans="1:9">
      <c r="A210" s="41">
        <v>45572</v>
      </c>
      <c r="B210" s="42">
        <v>0.38614583333333341</v>
      </c>
      <c r="C210" t="s">
        <v>155</v>
      </c>
      <c r="D210" t="s">
        <v>42</v>
      </c>
      <c r="E210" t="s">
        <v>166</v>
      </c>
      <c r="F210" t="s">
        <v>167</v>
      </c>
      <c r="G210">
        <v>-990</v>
      </c>
      <c r="H210" t="s">
        <v>156</v>
      </c>
      <c r="I210" t="s">
        <v>168</v>
      </c>
    </row>
    <row r="211" spans="1:9">
      <c r="A211" s="41">
        <v>45572</v>
      </c>
      <c r="B211" s="42">
        <v>0.38613425925925932</v>
      </c>
      <c r="C211" t="s">
        <v>155</v>
      </c>
      <c r="D211" t="s">
        <v>42</v>
      </c>
      <c r="E211" t="s">
        <v>166</v>
      </c>
      <c r="F211" t="s">
        <v>167</v>
      </c>
      <c r="G211">
        <v>-3900</v>
      </c>
      <c r="H211" t="s">
        <v>156</v>
      </c>
      <c r="I211" t="s">
        <v>168</v>
      </c>
    </row>
  </sheetData>
  <autoFilter ref="A1:J1" xr:uid="{00000000-0001-0000-0100-000000000000}">
    <sortState xmlns:xlrd2="http://schemas.microsoft.com/office/spreadsheetml/2017/richdata2" ref="A15:J29">
      <sortCondition ref="A1"/>
    </sortState>
  </autoFilter>
  <phoneticPr fontId="4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7E4B-10DA-1546-9225-2E0D47A28CBB}">
  <dimension ref="A2:M36"/>
  <sheetViews>
    <sheetView workbookViewId="0">
      <selection activeCell="G25" sqref="G25"/>
    </sheetView>
  </sheetViews>
  <sheetFormatPr baseColWidth="10" defaultRowHeight="17"/>
  <cols>
    <col min="1" max="1" width="11.6640625" bestFit="1" customWidth="1"/>
    <col min="2" max="2" width="6.33203125" bestFit="1" customWidth="1"/>
    <col min="3" max="3" width="5.6640625" bestFit="1" customWidth="1"/>
    <col min="4" max="4" width="11.1640625" bestFit="1" customWidth="1"/>
    <col min="5" max="5" width="7.5" bestFit="1" customWidth="1"/>
    <col min="6" max="6" width="35.5" bestFit="1" customWidth="1"/>
    <col min="8" max="8" width="5.83203125" bestFit="1" customWidth="1"/>
    <col min="9" max="9" width="14.5" bestFit="1" customWidth="1"/>
  </cols>
  <sheetData>
    <row r="2" spans="1:13">
      <c r="A2" s="41">
        <v>45931</v>
      </c>
      <c r="B2" s="42">
        <v>0.76158564814814811</v>
      </c>
      <c r="C2" t="s">
        <v>157</v>
      </c>
      <c r="D2" t="s">
        <v>158</v>
      </c>
      <c r="E2" t="s">
        <v>159</v>
      </c>
      <c r="F2" t="s">
        <v>7</v>
      </c>
      <c r="G2">
        <v>100000</v>
      </c>
      <c r="H2" t="s">
        <v>156</v>
      </c>
      <c r="I2" t="s">
        <v>64</v>
      </c>
      <c r="L2">
        <f>IF(G2&gt;0,G2,0)</f>
        <v>100000</v>
      </c>
      <c r="M2">
        <f>IF(G2&lt;0,G2,0)</f>
        <v>0</v>
      </c>
    </row>
    <row r="3" spans="1:13">
      <c r="A3" s="41">
        <v>45925</v>
      </c>
      <c r="B3" s="42">
        <v>0.46813657407407411</v>
      </c>
      <c r="C3" t="s">
        <v>157</v>
      </c>
      <c r="D3" t="s">
        <v>158</v>
      </c>
      <c r="E3" t="s">
        <v>159</v>
      </c>
      <c r="F3" t="s">
        <v>7</v>
      </c>
      <c r="G3">
        <v>-1000000</v>
      </c>
      <c r="H3" t="s">
        <v>156</v>
      </c>
      <c r="I3" t="s">
        <v>64</v>
      </c>
      <c r="L3">
        <f t="shared" ref="L3:L34" si="0">IF(G3&gt;0,G3,0)</f>
        <v>0</v>
      </c>
      <c r="M3">
        <f t="shared" ref="M3:M34" si="1">IF(G3&lt;0,G3,0)</f>
        <v>-1000000</v>
      </c>
    </row>
    <row r="4" spans="1:13">
      <c r="A4" s="41">
        <v>45925</v>
      </c>
      <c r="B4" s="42">
        <v>0.46793981481481478</v>
      </c>
      <c r="C4" t="s">
        <v>157</v>
      </c>
      <c r="D4" t="s">
        <v>158</v>
      </c>
      <c r="E4" t="s">
        <v>159</v>
      </c>
      <c r="F4" t="s">
        <v>7</v>
      </c>
      <c r="G4">
        <v>-100000</v>
      </c>
      <c r="H4" t="s">
        <v>156</v>
      </c>
      <c r="I4" t="s">
        <v>64</v>
      </c>
      <c r="L4">
        <f t="shared" si="0"/>
        <v>0</v>
      </c>
      <c r="M4">
        <f t="shared" si="1"/>
        <v>-100000</v>
      </c>
    </row>
    <row r="5" spans="1:13">
      <c r="A5" s="41">
        <v>45925</v>
      </c>
      <c r="B5" s="42">
        <v>0.46766203703703701</v>
      </c>
      <c r="C5" t="s">
        <v>157</v>
      </c>
      <c r="D5" t="s">
        <v>158</v>
      </c>
      <c r="E5" t="s">
        <v>159</v>
      </c>
      <c r="F5" t="s">
        <v>7</v>
      </c>
      <c r="G5">
        <v>4155280</v>
      </c>
      <c r="H5" t="s">
        <v>156</v>
      </c>
      <c r="I5" t="s">
        <v>64</v>
      </c>
      <c r="L5">
        <f t="shared" si="0"/>
        <v>4155280</v>
      </c>
      <c r="M5">
        <f t="shared" si="1"/>
        <v>0</v>
      </c>
    </row>
    <row r="6" spans="1:13">
      <c r="A6" s="41">
        <v>45915</v>
      </c>
      <c r="B6" s="42">
        <v>0.64597222222222217</v>
      </c>
      <c r="C6" t="s">
        <v>157</v>
      </c>
      <c r="D6" t="s">
        <v>158</v>
      </c>
      <c r="E6" t="s">
        <v>159</v>
      </c>
      <c r="F6" t="s">
        <v>7</v>
      </c>
      <c r="G6">
        <v>-100000</v>
      </c>
      <c r="H6" t="s">
        <v>156</v>
      </c>
      <c r="I6" t="s">
        <v>64</v>
      </c>
      <c r="L6">
        <f t="shared" si="0"/>
        <v>0</v>
      </c>
      <c r="M6">
        <f t="shared" si="1"/>
        <v>-100000</v>
      </c>
    </row>
    <row r="7" spans="1:13">
      <c r="A7" s="41">
        <v>45915</v>
      </c>
      <c r="B7" s="42">
        <v>0.64511574074074074</v>
      </c>
      <c r="C7" t="s">
        <v>157</v>
      </c>
      <c r="D7" t="s">
        <v>158</v>
      </c>
      <c r="E7" t="s">
        <v>159</v>
      </c>
      <c r="F7" t="s">
        <v>7</v>
      </c>
      <c r="G7">
        <v>-235012</v>
      </c>
      <c r="H7" t="s">
        <v>156</v>
      </c>
      <c r="I7" t="s">
        <v>64</v>
      </c>
      <c r="L7">
        <f t="shared" si="0"/>
        <v>0</v>
      </c>
      <c r="M7">
        <f t="shared" si="1"/>
        <v>-235012</v>
      </c>
    </row>
    <row r="8" spans="1:13">
      <c r="A8" s="41">
        <v>45912</v>
      </c>
      <c r="B8" s="42">
        <v>0.58335648148148145</v>
      </c>
      <c r="C8" t="s">
        <v>157</v>
      </c>
      <c r="D8" t="s">
        <v>158</v>
      </c>
      <c r="E8" t="s">
        <v>159</v>
      </c>
      <c r="F8" t="s">
        <v>7</v>
      </c>
      <c r="G8">
        <v>609410</v>
      </c>
      <c r="H8" t="s">
        <v>156</v>
      </c>
      <c r="I8" t="s">
        <v>64</v>
      </c>
      <c r="L8">
        <f t="shared" si="0"/>
        <v>609410</v>
      </c>
      <c r="M8">
        <f t="shared" si="1"/>
        <v>0</v>
      </c>
    </row>
    <row r="9" spans="1:13">
      <c r="A9" s="41">
        <v>45901</v>
      </c>
      <c r="B9" s="42">
        <v>0.47217592592592589</v>
      </c>
      <c r="C9" t="s">
        <v>157</v>
      </c>
      <c r="D9" t="s">
        <v>158</v>
      </c>
      <c r="E9" t="s">
        <v>159</v>
      </c>
      <c r="F9" t="s">
        <v>7</v>
      </c>
      <c r="G9">
        <v>-321941</v>
      </c>
      <c r="H9" t="s">
        <v>156</v>
      </c>
      <c r="I9" t="s">
        <v>64</v>
      </c>
      <c r="L9">
        <f t="shared" si="0"/>
        <v>0</v>
      </c>
      <c r="M9">
        <f t="shared" si="1"/>
        <v>-321941</v>
      </c>
    </row>
    <row r="10" spans="1:13">
      <c r="A10" s="41">
        <v>45884</v>
      </c>
      <c r="B10" s="42">
        <v>0.89012731481481477</v>
      </c>
      <c r="C10" t="s">
        <v>157</v>
      </c>
      <c r="D10" t="s">
        <v>158</v>
      </c>
      <c r="E10" t="s">
        <v>159</v>
      </c>
      <c r="F10" t="s">
        <v>7</v>
      </c>
      <c r="G10">
        <v>-150000</v>
      </c>
      <c r="H10" t="s">
        <v>156</v>
      </c>
      <c r="I10" t="s">
        <v>64</v>
      </c>
      <c r="L10">
        <f t="shared" si="0"/>
        <v>0</v>
      </c>
      <c r="M10">
        <f t="shared" si="1"/>
        <v>-150000</v>
      </c>
    </row>
    <row r="11" spans="1:13">
      <c r="A11" s="41">
        <v>45884</v>
      </c>
      <c r="B11" s="42">
        <v>0.88960648148148147</v>
      </c>
      <c r="C11" t="s">
        <v>157</v>
      </c>
      <c r="D11" t="s">
        <v>158</v>
      </c>
      <c r="E11" t="s">
        <v>159</v>
      </c>
      <c r="F11" t="s">
        <v>7</v>
      </c>
      <c r="G11">
        <v>1021906</v>
      </c>
      <c r="H11" t="s">
        <v>156</v>
      </c>
      <c r="I11" t="s">
        <v>64</v>
      </c>
      <c r="L11">
        <f t="shared" si="0"/>
        <v>1021906</v>
      </c>
      <c r="M11">
        <f t="shared" si="1"/>
        <v>0</v>
      </c>
    </row>
    <row r="12" spans="1:13">
      <c r="A12" s="41">
        <v>45876</v>
      </c>
      <c r="B12" s="42">
        <v>0.75872685185185185</v>
      </c>
      <c r="C12" t="s">
        <v>157</v>
      </c>
      <c r="D12" t="s">
        <v>158</v>
      </c>
      <c r="E12" t="s">
        <v>159</v>
      </c>
      <c r="F12" t="s">
        <v>7</v>
      </c>
      <c r="G12">
        <v>-500000</v>
      </c>
      <c r="H12" t="s">
        <v>156</v>
      </c>
      <c r="I12" t="s">
        <v>64</v>
      </c>
      <c r="L12">
        <f t="shared" si="0"/>
        <v>0</v>
      </c>
      <c r="M12">
        <f t="shared" si="1"/>
        <v>-500000</v>
      </c>
    </row>
    <row r="13" spans="1:13">
      <c r="A13" s="41">
        <v>45871</v>
      </c>
      <c r="B13" s="42">
        <v>0.6696064814814815</v>
      </c>
      <c r="C13" t="s">
        <v>157</v>
      </c>
      <c r="D13" t="s">
        <v>158</v>
      </c>
      <c r="E13" t="s">
        <v>159</v>
      </c>
      <c r="F13" t="s">
        <v>7</v>
      </c>
      <c r="G13">
        <v>-1000000</v>
      </c>
      <c r="H13" t="s">
        <v>156</v>
      </c>
      <c r="I13" t="s">
        <v>64</v>
      </c>
      <c r="L13">
        <f t="shared" si="0"/>
        <v>0</v>
      </c>
      <c r="M13">
        <f t="shared" si="1"/>
        <v>-1000000</v>
      </c>
    </row>
    <row r="14" spans="1:13">
      <c r="A14" s="41">
        <v>45868</v>
      </c>
      <c r="B14" s="42">
        <v>0.84635416666666663</v>
      </c>
      <c r="C14" t="s">
        <v>157</v>
      </c>
      <c r="D14" t="s">
        <v>158</v>
      </c>
      <c r="E14" t="s">
        <v>159</v>
      </c>
      <c r="F14" t="s">
        <v>7</v>
      </c>
      <c r="G14">
        <v>1187450</v>
      </c>
      <c r="H14" t="s">
        <v>156</v>
      </c>
      <c r="I14" t="s">
        <v>64</v>
      </c>
      <c r="L14">
        <f t="shared" si="0"/>
        <v>1187450</v>
      </c>
      <c r="M14">
        <f t="shared" si="1"/>
        <v>0</v>
      </c>
    </row>
    <row r="15" spans="1:13">
      <c r="A15" s="41">
        <v>45863</v>
      </c>
      <c r="B15" s="42">
        <v>0.41450231481481481</v>
      </c>
      <c r="C15" t="s">
        <v>157</v>
      </c>
      <c r="D15" t="s">
        <v>158</v>
      </c>
      <c r="E15" t="s">
        <v>159</v>
      </c>
      <c r="F15" t="s">
        <v>7</v>
      </c>
      <c r="G15">
        <v>1500000</v>
      </c>
      <c r="H15" t="s">
        <v>156</v>
      </c>
      <c r="I15" t="s">
        <v>64</v>
      </c>
      <c r="L15">
        <f t="shared" si="0"/>
        <v>1500000</v>
      </c>
      <c r="M15">
        <f t="shared" si="1"/>
        <v>0</v>
      </c>
    </row>
    <row r="16" spans="1:13">
      <c r="A16" s="41">
        <v>45852</v>
      </c>
      <c r="B16" s="42">
        <v>0.49457175925925928</v>
      </c>
      <c r="C16" t="s">
        <v>157</v>
      </c>
      <c r="D16" t="s">
        <v>158</v>
      </c>
      <c r="E16" t="s">
        <v>159</v>
      </c>
      <c r="F16" t="s">
        <v>7</v>
      </c>
      <c r="G16">
        <v>320232</v>
      </c>
      <c r="H16" t="s">
        <v>156</v>
      </c>
      <c r="I16" t="s">
        <v>64</v>
      </c>
      <c r="L16">
        <f t="shared" si="0"/>
        <v>320232</v>
      </c>
      <c r="M16">
        <f t="shared" si="1"/>
        <v>0</v>
      </c>
    </row>
    <row r="17" spans="1:13">
      <c r="A17" s="41">
        <v>45840</v>
      </c>
      <c r="B17" s="42">
        <v>0.25468750000000001</v>
      </c>
      <c r="C17" t="s">
        <v>157</v>
      </c>
      <c r="D17" t="s">
        <v>158</v>
      </c>
      <c r="E17" t="s">
        <v>159</v>
      </c>
      <c r="F17" t="s">
        <v>7</v>
      </c>
      <c r="G17">
        <v>-2500000</v>
      </c>
      <c r="H17" t="s">
        <v>156</v>
      </c>
      <c r="I17" t="s">
        <v>64</v>
      </c>
      <c r="L17">
        <f t="shared" si="0"/>
        <v>0</v>
      </c>
      <c r="M17">
        <f t="shared" si="1"/>
        <v>-2500000</v>
      </c>
    </row>
    <row r="18" spans="1:13">
      <c r="A18" s="41">
        <v>45833</v>
      </c>
      <c r="B18" s="42">
        <v>0.82464120370370375</v>
      </c>
      <c r="C18" t="s">
        <v>157</v>
      </c>
      <c r="D18" t="s">
        <v>158</v>
      </c>
      <c r="E18" t="s">
        <v>159</v>
      </c>
      <c r="F18" t="s">
        <v>7</v>
      </c>
      <c r="G18">
        <v>-37507</v>
      </c>
      <c r="H18" t="s">
        <v>156</v>
      </c>
      <c r="I18" t="s">
        <v>64</v>
      </c>
      <c r="L18">
        <f t="shared" si="0"/>
        <v>0</v>
      </c>
      <c r="M18">
        <f t="shared" si="1"/>
        <v>-37507</v>
      </c>
    </row>
    <row r="19" spans="1:13">
      <c r="A19" s="41">
        <v>45833</v>
      </c>
      <c r="B19" s="42">
        <v>0.69725694444444442</v>
      </c>
      <c r="C19" t="s">
        <v>157</v>
      </c>
      <c r="D19" t="s">
        <v>158</v>
      </c>
      <c r="E19" t="s">
        <v>159</v>
      </c>
      <c r="F19" t="s">
        <v>7</v>
      </c>
      <c r="G19">
        <v>-1000000</v>
      </c>
      <c r="H19" t="s">
        <v>156</v>
      </c>
      <c r="I19" t="s">
        <v>64</v>
      </c>
      <c r="L19">
        <f t="shared" si="0"/>
        <v>0</v>
      </c>
      <c r="M19">
        <f t="shared" si="1"/>
        <v>-1000000</v>
      </c>
    </row>
    <row r="20" spans="1:13">
      <c r="A20" s="41">
        <v>45833</v>
      </c>
      <c r="B20" s="42">
        <v>0.6958333333333333</v>
      </c>
      <c r="C20" t="s">
        <v>157</v>
      </c>
      <c r="D20" t="s">
        <v>158</v>
      </c>
      <c r="E20" t="s">
        <v>159</v>
      </c>
      <c r="F20" t="s">
        <v>7</v>
      </c>
      <c r="G20">
        <v>28542249</v>
      </c>
      <c r="H20" t="s">
        <v>156</v>
      </c>
      <c r="I20" t="s">
        <v>64</v>
      </c>
      <c r="L20">
        <f t="shared" si="0"/>
        <v>28542249</v>
      </c>
      <c r="M20">
        <f t="shared" si="1"/>
        <v>0</v>
      </c>
    </row>
    <row r="21" spans="1:13">
      <c r="A21" s="41">
        <v>45772</v>
      </c>
      <c r="B21" s="42">
        <v>0.9732291666666667</v>
      </c>
      <c r="C21" t="s">
        <v>157</v>
      </c>
      <c r="D21" t="s">
        <v>158</v>
      </c>
      <c r="E21" t="s">
        <v>159</v>
      </c>
      <c r="F21" t="s">
        <v>7</v>
      </c>
      <c r="G21">
        <v>-60552</v>
      </c>
      <c r="H21" t="s">
        <v>156</v>
      </c>
      <c r="I21" t="s">
        <v>64</v>
      </c>
      <c r="L21">
        <f t="shared" si="0"/>
        <v>0</v>
      </c>
      <c r="M21">
        <f t="shared" si="1"/>
        <v>-60552</v>
      </c>
    </row>
    <row r="22" spans="1:13">
      <c r="A22" s="41">
        <v>45763</v>
      </c>
      <c r="B22" s="42">
        <v>0.66787037037037034</v>
      </c>
      <c r="C22" t="s">
        <v>157</v>
      </c>
      <c r="D22" t="s">
        <v>158</v>
      </c>
      <c r="E22" t="s">
        <v>159</v>
      </c>
      <c r="F22" t="s">
        <v>7</v>
      </c>
      <c r="G22">
        <v>200000</v>
      </c>
      <c r="H22" t="s">
        <v>156</v>
      </c>
      <c r="I22" t="s">
        <v>64</v>
      </c>
      <c r="L22">
        <f t="shared" si="0"/>
        <v>200000</v>
      </c>
      <c r="M22">
        <f t="shared" si="1"/>
        <v>0</v>
      </c>
    </row>
    <row r="23" spans="1:13">
      <c r="A23" s="41">
        <v>45763</v>
      </c>
      <c r="B23" s="42">
        <v>0.66787037037037034</v>
      </c>
      <c r="C23" t="s">
        <v>157</v>
      </c>
      <c r="D23" t="s">
        <v>158</v>
      </c>
      <c r="E23" t="s">
        <v>159</v>
      </c>
      <c r="F23" t="s">
        <v>165</v>
      </c>
      <c r="G23">
        <v>-139448</v>
      </c>
      <c r="H23" t="s">
        <v>156</v>
      </c>
      <c r="I23" t="s">
        <v>64</v>
      </c>
      <c r="L23">
        <f t="shared" si="0"/>
        <v>0</v>
      </c>
      <c r="M23">
        <f t="shared" si="1"/>
        <v>-139448</v>
      </c>
    </row>
    <row r="24" spans="1:13">
      <c r="A24" s="41">
        <v>45742</v>
      </c>
      <c r="B24" s="42">
        <v>0.81438657407407411</v>
      </c>
      <c r="C24" t="s">
        <v>157</v>
      </c>
      <c r="D24" t="s">
        <v>158</v>
      </c>
      <c r="E24" t="s">
        <v>159</v>
      </c>
      <c r="F24" t="s">
        <v>7</v>
      </c>
      <c r="G24">
        <v>-15</v>
      </c>
      <c r="H24" t="s">
        <v>156</v>
      </c>
      <c r="I24" t="s">
        <v>64</v>
      </c>
      <c r="L24">
        <f t="shared" si="0"/>
        <v>0</v>
      </c>
      <c r="M24">
        <f t="shared" si="1"/>
        <v>-15</v>
      </c>
    </row>
    <row r="25" spans="1:13">
      <c r="A25" s="41">
        <v>45720</v>
      </c>
      <c r="B25" s="42">
        <v>0.54464120370370372</v>
      </c>
      <c r="C25" t="s">
        <v>157</v>
      </c>
      <c r="D25" t="s">
        <v>158</v>
      </c>
      <c r="E25" t="s">
        <v>159</v>
      </c>
      <c r="F25" t="s">
        <v>7</v>
      </c>
      <c r="G25">
        <v>-29800000</v>
      </c>
      <c r="H25" t="s">
        <v>156</v>
      </c>
      <c r="I25" t="s">
        <v>64</v>
      </c>
      <c r="L25">
        <f t="shared" si="0"/>
        <v>0</v>
      </c>
      <c r="M25">
        <f t="shared" si="1"/>
        <v>-29800000</v>
      </c>
    </row>
    <row r="26" spans="1:13">
      <c r="A26" s="41">
        <v>45667</v>
      </c>
      <c r="B26" s="42">
        <v>0.7121643518518519</v>
      </c>
      <c r="C26" t="s">
        <v>157</v>
      </c>
      <c r="D26" t="s">
        <v>158</v>
      </c>
      <c r="E26" t="s">
        <v>159</v>
      </c>
      <c r="F26" t="s">
        <v>7</v>
      </c>
      <c r="G26">
        <v>-141712</v>
      </c>
      <c r="H26" t="s">
        <v>156</v>
      </c>
      <c r="I26" t="s">
        <v>64</v>
      </c>
      <c r="L26">
        <f t="shared" si="0"/>
        <v>0</v>
      </c>
      <c r="M26">
        <f t="shared" si="1"/>
        <v>-141712</v>
      </c>
    </row>
    <row r="27" spans="1:13">
      <c r="A27" s="41">
        <v>45637</v>
      </c>
      <c r="B27" s="42">
        <v>0.70090277777777776</v>
      </c>
      <c r="C27" t="s">
        <v>157</v>
      </c>
      <c r="D27" t="s">
        <v>158</v>
      </c>
      <c r="E27" t="s">
        <v>159</v>
      </c>
      <c r="F27" t="s">
        <v>7</v>
      </c>
      <c r="G27">
        <v>141700</v>
      </c>
      <c r="H27" t="s">
        <v>156</v>
      </c>
      <c r="I27" t="s">
        <v>64</v>
      </c>
      <c r="L27">
        <f t="shared" si="0"/>
        <v>141700</v>
      </c>
      <c r="M27">
        <f t="shared" si="1"/>
        <v>0</v>
      </c>
    </row>
    <row r="28" spans="1:13">
      <c r="A28" s="41">
        <v>45731</v>
      </c>
      <c r="B28" s="42">
        <v>0.1849189814814815</v>
      </c>
      <c r="C28" t="s">
        <v>157</v>
      </c>
      <c r="D28" t="s">
        <v>159</v>
      </c>
      <c r="E28" t="s">
        <v>159</v>
      </c>
      <c r="F28" t="s">
        <v>162</v>
      </c>
      <c r="G28">
        <v>15</v>
      </c>
      <c r="H28" t="s">
        <v>156</v>
      </c>
      <c r="I28" t="s">
        <v>64</v>
      </c>
      <c r="L28">
        <f t="shared" si="0"/>
        <v>15</v>
      </c>
      <c r="M28">
        <f t="shared" si="1"/>
        <v>0</v>
      </c>
    </row>
    <row r="29" spans="1:13">
      <c r="A29" s="41">
        <v>45647</v>
      </c>
      <c r="B29" s="42">
        <v>0.2011111111111111</v>
      </c>
      <c r="C29" t="s">
        <v>157</v>
      </c>
      <c r="D29" t="s">
        <v>159</v>
      </c>
      <c r="E29" t="s">
        <v>159</v>
      </c>
      <c r="F29" t="s">
        <v>162</v>
      </c>
      <c r="G29">
        <v>12</v>
      </c>
      <c r="H29" t="s">
        <v>156</v>
      </c>
      <c r="I29" t="s">
        <v>64</v>
      </c>
      <c r="L29">
        <f t="shared" si="0"/>
        <v>12</v>
      </c>
      <c r="M29">
        <f t="shared" si="1"/>
        <v>0</v>
      </c>
    </row>
    <row r="30" spans="1:13">
      <c r="A30" s="41">
        <v>45915</v>
      </c>
      <c r="B30" s="42">
        <v>0.1275347222222222</v>
      </c>
      <c r="C30" t="s">
        <v>157</v>
      </c>
      <c r="D30" t="s">
        <v>157</v>
      </c>
      <c r="E30" t="s">
        <v>159</v>
      </c>
      <c r="F30" t="s">
        <v>163</v>
      </c>
      <c r="G30">
        <v>-13362</v>
      </c>
      <c r="H30" t="s">
        <v>156</v>
      </c>
      <c r="I30" t="s">
        <v>64</v>
      </c>
      <c r="L30">
        <f t="shared" si="0"/>
        <v>0</v>
      </c>
      <c r="M30">
        <f t="shared" si="1"/>
        <v>-13362</v>
      </c>
    </row>
    <row r="31" spans="1:13">
      <c r="A31" s="41">
        <v>45904</v>
      </c>
      <c r="B31" s="42">
        <v>0.35310185185185178</v>
      </c>
      <c r="C31" t="s">
        <v>157</v>
      </c>
      <c r="D31" t="s">
        <v>157</v>
      </c>
      <c r="E31" t="s">
        <v>159</v>
      </c>
      <c r="F31" t="s">
        <v>164</v>
      </c>
      <c r="G31">
        <v>-317550</v>
      </c>
      <c r="H31" t="s">
        <v>156</v>
      </c>
      <c r="I31" t="s">
        <v>64</v>
      </c>
      <c r="L31">
        <f t="shared" si="0"/>
        <v>0</v>
      </c>
      <c r="M31">
        <f t="shared" si="1"/>
        <v>-317550</v>
      </c>
    </row>
    <row r="32" spans="1:13">
      <c r="A32" s="41">
        <v>45880</v>
      </c>
      <c r="B32" s="42">
        <v>0.12707175925925929</v>
      </c>
      <c r="C32" t="s">
        <v>157</v>
      </c>
      <c r="D32" t="s">
        <v>157</v>
      </c>
      <c r="E32" t="s">
        <v>159</v>
      </c>
      <c r="F32" t="s">
        <v>163</v>
      </c>
      <c r="G32">
        <v>-13891</v>
      </c>
      <c r="H32" t="s">
        <v>156</v>
      </c>
      <c r="I32" t="s">
        <v>64</v>
      </c>
      <c r="L32">
        <f t="shared" si="0"/>
        <v>0</v>
      </c>
      <c r="M32">
        <f t="shared" si="1"/>
        <v>-13891</v>
      </c>
    </row>
    <row r="33" spans="1:13">
      <c r="A33" s="41">
        <v>45852</v>
      </c>
      <c r="B33" s="42">
        <v>0.1257986111111111</v>
      </c>
      <c r="C33" t="s">
        <v>157</v>
      </c>
      <c r="D33" t="s">
        <v>157</v>
      </c>
      <c r="E33" t="s">
        <v>159</v>
      </c>
      <c r="F33" t="s">
        <v>163</v>
      </c>
      <c r="G33">
        <v>-48498</v>
      </c>
      <c r="H33" t="s">
        <v>156</v>
      </c>
      <c r="I33" t="s">
        <v>64</v>
      </c>
      <c r="L33">
        <f t="shared" si="0"/>
        <v>0</v>
      </c>
      <c r="M33">
        <f t="shared" si="1"/>
        <v>-48498</v>
      </c>
    </row>
    <row r="34" spans="1:13">
      <c r="A34" s="41">
        <v>45930</v>
      </c>
      <c r="B34" s="42">
        <v>0.77277777777777779</v>
      </c>
      <c r="C34" t="s">
        <v>155</v>
      </c>
      <c r="D34" t="s">
        <v>45</v>
      </c>
      <c r="E34" t="s">
        <v>160</v>
      </c>
      <c r="F34" t="s">
        <v>161</v>
      </c>
      <c r="G34">
        <v>-282010</v>
      </c>
      <c r="H34" t="s">
        <v>156</v>
      </c>
      <c r="I34" t="s">
        <v>64</v>
      </c>
      <c r="L34">
        <f t="shared" si="0"/>
        <v>0</v>
      </c>
      <c r="M34">
        <f t="shared" si="1"/>
        <v>-282010</v>
      </c>
    </row>
    <row r="36" spans="1:13">
      <c r="L36">
        <f>SUM(L2:L34)</f>
        <v>37778254</v>
      </c>
      <c r="M36">
        <f>SUM(M2:M34)</f>
        <v>-37761498</v>
      </c>
    </row>
  </sheetData>
  <autoFilter ref="A1:I1" xr:uid="{24667E4B-10DA-1546-9225-2E0D47A28CBB}">
    <sortState xmlns:xlrd2="http://schemas.microsoft.com/office/spreadsheetml/2017/richdata2" ref="A2:I34">
      <sortCondition ref="D1:D34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뱅샐현황</vt:lpstr>
      <vt:lpstr>가계부 내역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Cynthia Williams</cp:lastModifiedBy>
  <dcterms:created xsi:type="dcterms:W3CDTF">2025-10-07T02:24:07Z</dcterms:created>
  <dcterms:modified xsi:type="dcterms:W3CDTF">2025-10-09T10:36:22Z</dcterms:modified>
</cp:coreProperties>
</file>